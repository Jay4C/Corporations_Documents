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2_Systeme_Developpe\"/>
    </mc:Choice>
  </mc:AlternateContent>
  <bookViews>
    <workbookView xWindow="240" yWindow="60" windowWidth="11580" windowHeight="6030"/>
  </bookViews>
  <sheets>
    <sheet name="Tableau_Des_E_Et_R" sheetId="1" r:id="rId1"/>
  </sheets>
  <definedNames>
    <definedName name="_xlnm.Print_Area" localSheetId="0">Tableau_Des_E_Et_R!$A$1:$H$19</definedName>
  </definedNames>
  <calcPr calcId="152511"/>
</workbook>
</file>

<file path=xl/calcChain.xml><?xml version="1.0" encoding="utf-8"?>
<calcChain xmlns="http://schemas.openxmlformats.org/spreadsheetml/2006/main">
  <c r="E48" i="1" l="1"/>
  <c r="D48" i="1"/>
  <c r="D46" i="1"/>
  <c r="E44" i="1"/>
  <c r="D44" i="1"/>
  <c r="D39" i="1"/>
  <c r="E39" i="1"/>
  <c r="E37" i="1"/>
  <c r="D37" i="1"/>
  <c r="D30" i="1"/>
  <c r="D35" i="1"/>
  <c r="B29" i="1"/>
  <c r="C29" i="1"/>
  <c r="C21" i="1"/>
  <c r="B21" i="1"/>
  <c r="B22" i="1"/>
  <c r="C22" i="1"/>
  <c r="C26" i="1"/>
  <c r="B26" i="1"/>
  <c r="E46" i="1"/>
  <c r="E34" i="1"/>
  <c r="E31" i="1"/>
  <c r="E28" i="1"/>
  <c r="E27" i="1"/>
  <c r="E26" i="1"/>
  <c r="E25" i="1"/>
  <c r="E24" i="1"/>
  <c r="E23" i="1"/>
  <c r="E22" i="1"/>
  <c r="E21" i="1"/>
  <c r="E29" i="1" s="1"/>
  <c r="B23" i="1"/>
  <c r="C23" i="1"/>
  <c r="D23" i="1" s="1"/>
  <c r="B24" i="1"/>
  <c r="C24" i="1"/>
  <c r="B25" i="1"/>
  <c r="C25" i="1"/>
  <c r="D25" i="1" s="1"/>
  <c r="B27" i="1"/>
  <c r="C27" i="1"/>
  <c r="D26" i="1" s="1"/>
  <c r="D27" i="1"/>
  <c r="B28" i="1"/>
  <c r="D28" i="1" s="1"/>
  <c r="C28" i="1"/>
  <c r="E30" i="1"/>
  <c r="B32" i="1"/>
  <c r="B31" i="1" s="1"/>
  <c r="B30" i="1" s="1"/>
  <c r="B34" i="1" s="1"/>
  <c r="C32" i="1"/>
  <c r="E32" i="1"/>
  <c r="B33" i="1"/>
  <c r="C33" i="1"/>
  <c r="C31" i="1" s="1"/>
  <c r="E33" i="1"/>
  <c r="E35" i="1"/>
  <c r="B41" i="1"/>
  <c r="C41" i="1"/>
  <c r="D41" i="1" s="1"/>
  <c r="E41" i="1"/>
  <c r="B42" i="1"/>
  <c r="C42" i="1"/>
  <c r="D42" i="1" s="1"/>
  <c r="E42" i="1"/>
  <c r="B43" i="1"/>
  <c r="C43" i="1"/>
  <c r="D43" i="1" s="1"/>
  <c r="E43" i="1"/>
  <c r="C30" i="1" l="1"/>
  <c r="C34" i="1" s="1"/>
  <c r="D31" i="1"/>
  <c r="D22" i="1"/>
  <c r="D32" i="1"/>
  <c r="D24" i="1"/>
  <c r="D33" i="1"/>
  <c r="F12" i="1"/>
  <c r="F11" i="1"/>
  <c r="F10" i="1"/>
  <c r="F9" i="1" s="1"/>
  <c r="F8" i="1"/>
  <c r="F7" i="1"/>
  <c r="F6" i="1"/>
  <c r="E12" i="1"/>
  <c r="E11" i="1"/>
  <c r="E10" i="1"/>
  <c r="E8" i="1"/>
  <c r="E7" i="1"/>
  <c r="E6" i="1"/>
  <c r="E5" i="1" s="1"/>
  <c r="E4" i="1" s="1"/>
  <c r="F3" i="1"/>
  <c r="E3" i="1"/>
  <c r="B12" i="1"/>
  <c r="B9" i="1"/>
  <c r="C12" i="1"/>
  <c r="C9" i="1"/>
  <c r="C8" i="1"/>
  <c r="C7" i="1"/>
  <c r="C6" i="1"/>
  <c r="C5" i="1"/>
  <c r="B8" i="1"/>
  <c r="B7" i="1"/>
  <c r="B6" i="1"/>
  <c r="B5" i="1"/>
  <c r="C3" i="1"/>
  <c r="B3" i="1"/>
  <c r="D21" i="1" l="1"/>
  <c r="F5" i="1"/>
  <c r="F4" i="1" s="1"/>
  <c r="F13" i="1" s="1"/>
  <c r="C14" i="1" s="1"/>
  <c r="D34" i="1"/>
  <c r="C4" i="1"/>
  <c r="E13" i="1"/>
  <c r="B4" i="1"/>
  <c r="B13" i="1" s="1"/>
  <c r="E14" i="1" s="1"/>
  <c r="E9" i="1"/>
  <c r="C13" i="1"/>
  <c r="D29" i="1" l="1"/>
  <c r="B14" i="1"/>
  <c r="F14" i="1"/>
</calcChain>
</file>

<file path=xl/sharedStrings.xml><?xml version="1.0" encoding="utf-8"?>
<sst xmlns="http://schemas.openxmlformats.org/spreadsheetml/2006/main" count="71" uniqueCount="66">
  <si>
    <t xml:space="preserve">Emplois             </t>
  </si>
  <si>
    <t>Ressources</t>
  </si>
  <si>
    <t>Distributions mises en paiement au cours de l'exercice</t>
  </si>
  <si>
    <t>Capacité d'autofinancement de l'exercice</t>
  </si>
  <si>
    <t>Acquisitions d'éléments de l'actif immobilisé:</t>
  </si>
  <si>
    <t>Cessions ou réductions d'éléments de l'actif immobilisé:</t>
  </si>
  <si>
    <t>Immobilisations incorporelles</t>
  </si>
  <si>
    <t>Cessions d'immobilisations :</t>
  </si>
  <si>
    <t>Immobilisations corporelles</t>
  </si>
  <si>
    <t>Immobilisations financières</t>
  </si>
  <si>
    <t>Charges à répartir sur plusieurs exercices (a)</t>
  </si>
  <si>
    <t>Cessions ou réductions d'immobilisations financières</t>
  </si>
  <si>
    <t>Réduction des capitaux propres (réduction de capital, retraits)</t>
  </si>
  <si>
    <t>Augmentation des capitaux propres:</t>
  </si>
  <si>
    <t>Remboursements de dettes financières (b)</t>
  </si>
  <si>
    <t>Augmentation de capital ou apports</t>
  </si>
  <si>
    <t>Augmentation des autres capitaux propres</t>
  </si>
  <si>
    <t>Augmentation des dettes financières (b) (c)</t>
  </si>
  <si>
    <t>Total des emplois</t>
  </si>
  <si>
    <t>Total des ressources</t>
  </si>
  <si>
    <t>Variation du fonds de roulement net global (ressource nette)</t>
  </si>
  <si>
    <t>Variation du fonds de roulement net global (emploi nette)</t>
  </si>
  <si>
    <t>Variation "Exploitation":</t>
  </si>
  <si>
    <t>Variation des actifs d'exploitation :</t>
  </si>
  <si>
    <t>Stocks et en-cours</t>
  </si>
  <si>
    <t>Avances et acomptes versés sur commandes</t>
  </si>
  <si>
    <t>Variation des dettes d'exploitation :</t>
  </si>
  <si>
    <t>Avances et acomptes reçus sur commandes en cours</t>
  </si>
  <si>
    <t>A. Variation nette "Exploitation" (c)</t>
  </si>
  <si>
    <t>Variation "Hors exploitation" :</t>
  </si>
  <si>
    <t xml:space="preserve">Variation des autres débiteurs  (a) (d)                             </t>
  </si>
  <si>
    <t>Variation des autres créditeurs (b)</t>
  </si>
  <si>
    <t>B. Variation nette "Hors exploitation"  (c)</t>
  </si>
  <si>
    <t>Besoins de l'exercice en fonds de roulement</t>
  </si>
  <si>
    <t>ou</t>
  </si>
  <si>
    <t>Dégagement net de fonds de roulement dans l'exercice</t>
  </si>
  <si>
    <t>Variation "Trésorerie"</t>
  </si>
  <si>
    <t>Variation des disponibilités</t>
  </si>
  <si>
    <t>Variation des concours bancaires courants et soldes créditeurs de banques</t>
  </si>
  <si>
    <t>C. Variation nette "Trésorerie" (c)</t>
  </si>
  <si>
    <t>Emploi net</t>
  </si>
  <si>
    <t>Ressource nette</t>
  </si>
  <si>
    <t>incorporelles</t>
  </si>
  <si>
    <t>corporelles</t>
  </si>
  <si>
    <t>Créances Clients, Comptes rattachés et autres créances d'exploitation (a)</t>
  </si>
  <si>
    <t>Dettes Fournisseurs, Comptes rattachés et autres dettes d'exploitation (b)</t>
  </si>
  <si>
    <t>Total A + B:</t>
  </si>
  <si>
    <t>Variation du fonds de roulement net global</t>
  </si>
  <si>
    <t>Modèle de tableau des emplois et des ressources / I - Tableau de financement en compte</t>
  </si>
  <si>
    <t>(a) Montant brut transféré au cours de l'exercice.</t>
  </si>
  <si>
    <t>(b) Sauf concours bancaires courants et soldes créditeurs de banques</t>
  </si>
  <si>
    <t>('c') Hors primes de remboursement des obligations</t>
  </si>
  <si>
    <t>Exercice N [€]</t>
  </si>
  <si>
    <t>Exercice N-1 [€]</t>
  </si>
  <si>
    <t>Modèle de tableau des emplois et des ressources / II - Tableau de financement en compte</t>
  </si>
  <si>
    <t>Exercice N [€] / Besoin - 1</t>
  </si>
  <si>
    <t>Exercice N [€] / Dégagement - 2</t>
  </si>
  <si>
    <t>Exercice N [€] / Solde - (2-1)</t>
  </si>
  <si>
    <t>Exercice N-1 [€] - Solde</t>
  </si>
  <si>
    <t>Totaux</t>
  </si>
  <si>
    <t>VARIATION DU FONDS DE ROULEMENT NET GLOBAL (Total A + B + C) :</t>
  </si>
  <si>
    <t>(a) Y compris charges constatées d'avance selon leur affectation à l'exploitation ou non.</t>
  </si>
  <si>
    <t>(b) Y compris produits constatés d'avance selon leur affectation à l'exploitation ou non.</t>
  </si>
  <si>
    <t>(c) Les montants sont assortis du signe (+) lorsque les dégagements l'emportent sur les besoins et du signe (-)
dans le cas contraire.</t>
  </si>
  <si>
    <t>(d) Y compris valeurs mobilières de placement.</t>
  </si>
  <si>
    <t>Nota : Cette partie II du tableau peut être adaptée au système de base. Dans ce cas, les variations portent sur
l'ensemble des éléments ; aucune distinction n'est faite entre exploitation et hors exploitation.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</si>
</sst>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#,##0;\(#,##0\)"/>
    <numFmt numFmtId="165" formatCode="dd/mm/yy"/>
  </numFmts>
  <fonts count="6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0">
    <xf numFmtId="0" fontId="0" fillId="0" borderId="0" xfId="0"/>
    <xf numFmtId="3" fontId="0" fillId="0" borderId="0" xfId="0" applyNumberFormat="1" applyBorder="1"/>
    <xf numFmtId="3" fontId="0" fillId="0" borderId="0" xfId="0" applyNumberFormat="1"/>
    <xf numFmtId="3" fontId="2" fillId="0" borderId="0" xfId="0" applyNumberFormat="1" applyFont="1"/>
    <xf numFmtId="3" fontId="2" fillId="0" borderId="0" xfId="0" applyNumberFormat="1" applyFont="1" applyBorder="1"/>
    <xf numFmtId="3" fontId="0" fillId="0" borderId="0" xfId="0" applyNumberFormat="1" applyFill="1" applyBorder="1"/>
    <xf numFmtId="3" fontId="0" fillId="0" borderId="0" xfId="0" applyNumberFormat="1" applyBorder="1" applyAlignment="1">
      <alignment wrapText="1"/>
    </xf>
    <xf numFmtId="3" fontId="2" fillId="5" borderId="1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3" fontId="2" fillId="0" borderId="0" xfId="0" applyNumberFormat="1" applyFont="1" applyBorder="1" applyAlignment="1">
      <alignment horizontal="center" vertical="center" wrapText="1"/>
    </xf>
    <xf numFmtId="3" fontId="0" fillId="0" borderId="0" xfId="0" applyNumberFormat="1" applyAlignment="1">
      <alignment wrapText="1"/>
    </xf>
    <xf numFmtId="3" fontId="3" fillId="0" borderId="0" xfId="0" applyNumberFormat="1" applyFont="1" applyBorder="1" applyAlignment="1">
      <alignment horizontal="center" vertical="center" wrapText="1"/>
    </xf>
    <xf numFmtId="3" fontId="3" fillId="0" borderId="0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 wrapText="1"/>
    </xf>
    <xf numFmtId="44" fontId="4" fillId="8" borderId="1" xfId="1" applyFont="1" applyFill="1" applyBorder="1" applyAlignment="1">
      <alignment horizontal="center" vertical="center" wrapText="1"/>
    </xf>
    <xf numFmtId="3" fontId="2" fillId="7" borderId="1" xfId="0" applyNumberFormat="1" applyFont="1" applyFill="1" applyBorder="1" applyAlignment="1">
      <alignment horizontal="center" vertical="center" wrapText="1"/>
    </xf>
    <xf numFmtId="44" fontId="4" fillId="7" borderId="1" xfId="1" applyFont="1" applyFill="1" applyBorder="1" applyAlignment="1">
      <alignment horizontal="center" vertical="center" wrapText="1"/>
    </xf>
    <xf numFmtId="3" fontId="2" fillId="6" borderId="1" xfId="0" applyNumberFormat="1" applyFont="1" applyFill="1" applyBorder="1" applyAlignment="1">
      <alignment horizontal="center" vertical="center" wrapText="1"/>
    </xf>
    <xf numFmtId="44" fontId="4" fillId="6" borderId="1" xfId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>
      <alignment horizontal="center" vertical="center" wrapText="1"/>
    </xf>
    <xf numFmtId="44" fontId="4" fillId="4" borderId="1" xfId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2" fillId="9" borderId="1" xfId="0" applyNumberFormat="1" applyFont="1" applyFill="1" applyBorder="1" applyAlignment="1">
      <alignment horizontal="center" vertical="center" wrapText="1"/>
    </xf>
    <xf numFmtId="44" fontId="2" fillId="9" borderId="1" xfId="1" applyFont="1" applyFill="1" applyBorder="1" applyAlignment="1">
      <alignment horizontal="center" vertical="center" wrapText="1"/>
    </xf>
    <xf numFmtId="44" fontId="2" fillId="8" borderId="1" xfId="1" applyFont="1" applyFill="1" applyBorder="1" applyAlignment="1">
      <alignment horizontal="center" vertical="center" wrapText="1"/>
    </xf>
    <xf numFmtId="44" fontId="2" fillId="7" borderId="1" xfId="1" applyFont="1" applyFill="1" applyBorder="1" applyAlignment="1">
      <alignment horizontal="center" vertical="center" wrapText="1"/>
    </xf>
    <xf numFmtId="44" fontId="2" fillId="6" borderId="1" xfId="1" applyFont="1" applyFill="1" applyBorder="1" applyAlignment="1">
      <alignment horizontal="center" vertical="center" wrapText="1"/>
    </xf>
    <xf numFmtId="44" fontId="2" fillId="4" borderId="1" xfId="1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 wrapText="1"/>
    </xf>
    <xf numFmtId="44" fontId="2" fillId="4" borderId="1" xfId="1" applyNumberFormat="1" applyFont="1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3" xfId="0" applyNumberFormat="1" applyFont="1" applyFill="1" applyBorder="1" applyAlignment="1">
      <alignment horizontal="center" vertical="center" wrapText="1"/>
    </xf>
    <xf numFmtId="3" fontId="2" fillId="4" borderId="4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53"/>
  <sheetViews>
    <sheetView showGridLines="0" tabSelected="1" topLeftCell="A46" workbookViewId="0">
      <selection activeCell="A51" sqref="A51"/>
    </sheetView>
  </sheetViews>
  <sheetFormatPr baseColWidth="10" defaultRowHeight="12.75" x14ac:dyDescent="0.2"/>
  <cols>
    <col min="1" max="1" width="43.140625" style="1" customWidth="1"/>
    <col min="2" max="2" width="15" style="1" customWidth="1"/>
    <col min="3" max="3" width="17" style="1" customWidth="1"/>
    <col min="4" max="4" width="32.7109375" style="1" customWidth="1"/>
    <col min="5" max="5" width="17.42578125" style="1" customWidth="1"/>
    <col min="6" max="6" width="11.7109375" style="1" bestFit="1" customWidth="1"/>
    <col min="7" max="7" width="5.7109375" style="2" customWidth="1"/>
    <col min="8" max="8" width="3" style="2" bestFit="1" customWidth="1"/>
    <col min="9" max="9" width="49.28515625" style="2" bestFit="1" customWidth="1"/>
    <col min="10" max="16384" width="11.42578125" style="2"/>
  </cols>
  <sheetData>
    <row r="1" spans="1:6" ht="45" customHeight="1" x14ac:dyDescent="0.2">
      <c r="A1" s="35" t="s">
        <v>48</v>
      </c>
      <c r="B1" s="35"/>
      <c r="C1" s="35"/>
      <c r="D1" s="35"/>
      <c r="E1" s="35"/>
      <c r="F1" s="35"/>
    </row>
    <row r="2" spans="1:6" s="1" customFormat="1" ht="25.5" x14ac:dyDescent="0.2">
      <c r="A2" s="13" t="s">
        <v>0</v>
      </c>
      <c r="B2" s="14" t="s">
        <v>52</v>
      </c>
      <c r="C2" s="14" t="s">
        <v>53</v>
      </c>
      <c r="D2" s="13" t="s">
        <v>1</v>
      </c>
      <c r="E2" s="14" t="s">
        <v>52</v>
      </c>
      <c r="F2" s="14" t="s">
        <v>53</v>
      </c>
    </row>
    <row r="3" spans="1:6" s="1" customFormat="1" ht="25.5" x14ac:dyDescent="0.2">
      <c r="A3" s="17" t="s">
        <v>2</v>
      </c>
      <c r="B3" s="18">
        <f>0</f>
        <v>0</v>
      </c>
      <c r="C3" s="18">
        <f>0</f>
        <v>0</v>
      </c>
      <c r="D3" s="17" t="s">
        <v>3</v>
      </c>
      <c r="E3" s="18">
        <f>0</f>
        <v>0</v>
      </c>
      <c r="F3" s="18">
        <f>0</f>
        <v>0</v>
      </c>
    </row>
    <row r="4" spans="1:6" s="1" customFormat="1" ht="25.5" x14ac:dyDescent="0.2">
      <c r="A4" s="17" t="s">
        <v>4</v>
      </c>
      <c r="B4" s="18">
        <f>SUM(B5:B7)</f>
        <v>0</v>
      </c>
      <c r="C4" s="18">
        <f>SUM(C5:C7)</f>
        <v>0</v>
      </c>
      <c r="D4" s="17" t="s">
        <v>5</v>
      </c>
      <c r="E4" s="18">
        <f>SUM(E5,E8)</f>
        <v>0</v>
      </c>
      <c r="F4" s="18">
        <f>SUM(F5,F8)</f>
        <v>0</v>
      </c>
    </row>
    <row r="5" spans="1:6" s="5" customFormat="1" ht="17.25" customHeight="1" x14ac:dyDescent="0.2">
      <c r="A5" s="19" t="s">
        <v>6</v>
      </c>
      <c r="B5" s="20">
        <f>0</f>
        <v>0</v>
      </c>
      <c r="C5" s="20">
        <f>0</f>
        <v>0</v>
      </c>
      <c r="D5" s="19" t="s">
        <v>7</v>
      </c>
      <c r="E5" s="20">
        <f>SUM(E6:E7)</f>
        <v>0</v>
      </c>
      <c r="F5" s="20">
        <f>SUM(F6:F7)</f>
        <v>0</v>
      </c>
    </row>
    <row r="6" spans="1:6" s="5" customFormat="1" x14ac:dyDescent="0.2">
      <c r="A6" s="19" t="s">
        <v>8</v>
      </c>
      <c r="B6" s="20">
        <f>0</f>
        <v>0</v>
      </c>
      <c r="C6" s="20">
        <f>0</f>
        <v>0</v>
      </c>
      <c r="D6" s="21" t="s">
        <v>42</v>
      </c>
      <c r="E6" s="22">
        <f>0</f>
        <v>0</v>
      </c>
      <c r="F6" s="22">
        <f>0</f>
        <v>0</v>
      </c>
    </row>
    <row r="7" spans="1:6" s="3" customFormat="1" x14ac:dyDescent="0.2">
      <c r="A7" s="19" t="s">
        <v>9</v>
      </c>
      <c r="B7" s="20">
        <f>0</f>
        <v>0</v>
      </c>
      <c r="C7" s="20">
        <f>0</f>
        <v>0</v>
      </c>
      <c r="D7" s="21" t="s">
        <v>43</v>
      </c>
      <c r="E7" s="22">
        <f>0</f>
        <v>0</v>
      </c>
      <c r="F7" s="22">
        <f>0</f>
        <v>0</v>
      </c>
    </row>
    <row r="8" spans="1:6" s="3" customFormat="1" ht="25.5" x14ac:dyDescent="0.2">
      <c r="A8" s="17" t="s">
        <v>10</v>
      </c>
      <c r="B8" s="18">
        <f>0</f>
        <v>0</v>
      </c>
      <c r="C8" s="18">
        <f>0</f>
        <v>0</v>
      </c>
      <c r="D8" s="19" t="s">
        <v>11</v>
      </c>
      <c r="E8" s="20">
        <f>0</f>
        <v>0</v>
      </c>
      <c r="F8" s="20">
        <f>0</f>
        <v>0</v>
      </c>
    </row>
    <row r="9" spans="1:6" s="3" customFormat="1" ht="25.5" x14ac:dyDescent="0.2">
      <c r="A9" s="17" t="s">
        <v>12</v>
      </c>
      <c r="B9" s="18">
        <f>0</f>
        <v>0</v>
      </c>
      <c r="C9" s="18">
        <f>0</f>
        <v>0</v>
      </c>
      <c r="D9" s="17" t="s">
        <v>13</v>
      </c>
      <c r="E9" s="18">
        <f>SUM(E10:E11)</f>
        <v>0</v>
      </c>
      <c r="F9" s="18">
        <f>SUM(F10:F11)</f>
        <v>0</v>
      </c>
    </row>
    <row r="10" spans="1:6" s="4" customFormat="1" x14ac:dyDescent="0.2">
      <c r="A10" s="15"/>
      <c r="B10" s="15"/>
      <c r="C10" s="15"/>
      <c r="D10" s="19" t="s">
        <v>15</v>
      </c>
      <c r="E10" s="20">
        <f>0</f>
        <v>0</v>
      </c>
      <c r="F10" s="20">
        <f>0</f>
        <v>0</v>
      </c>
    </row>
    <row r="11" spans="1:6" s="3" customFormat="1" ht="25.5" x14ac:dyDescent="0.2">
      <c r="A11" s="15"/>
      <c r="B11" s="15"/>
      <c r="C11" s="15"/>
      <c r="D11" s="19" t="s">
        <v>16</v>
      </c>
      <c r="E11" s="20">
        <f>0</f>
        <v>0</v>
      </c>
      <c r="F11" s="20">
        <f>0</f>
        <v>0</v>
      </c>
    </row>
    <row r="12" spans="1:6" s="3" customFormat="1" ht="25.5" x14ac:dyDescent="0.2">
      <c r="A12" s="17" t="s">
        <v>14</v>
      </c>
      <c r="B12" s="18">
        <f>0</f>
        <v>0</v>
      </c>
      <c r="C12" s="18">
        <f>0</f>
        <v>0</v>
      </c>
      <c r="D12" s="17" t="s">
        <v>17</v>
      </c>
      <c r="E12" s="18">
        <f>0</f>
        <v>0</v>
      </c>
      <c r="F12" s="18">
        <f>0</f>
        <v>0</v>
      </c>
    </row>
    <row r="13" spans="1:6" s="3" customFormat="1" x14ac:dyDescent="0.2">
      <c r="A13" s="23" t="s">
        <v>18</v>
      </c>
      <c r="B13" s="24">
        <f>SUM(B3:B4,B8:B9,B12)</f>
        <v>0</v>
      </c>
      <c r="C13" s="24">
        <f>C3+C5+C6+C7+C8+C9+C12</f>
        <v>0</v>
      </c>
      <c r="D13" s="23" t="s">
        <v>19</v>
      </c>
      <c r="E13" s="24">
        <f>SUM(E3:E4,E9,E12)</f>
        <v>0</v>
      </c>
      <c r="F13" s="24">
        <f>SUM(F3:F4,F9,F12)</f>
        <v>0</v>
      </c>
    </row>
    <row r="14" spans="1:6" s="3" customFormat="1" ht="25.5" x14ac:dyDescent="0.2">
      <c r="A14" s="7" t="s">
        <v>20</v>
      </c>
      <c r="B14" s="8">
        <f>IF(E13&gt;=B13,E13-B13,0)</f>
        <v>0</v>
      </c>
      <c r="C14" s="8">
        <f>IF(F13&gt;=C13,F13-C13,0)</f>
        <v>0</v>
      </c>
      <c r="D14" s="7" t="s">
        <v>21</v>
      </c>
      <c r="E14" s="8">
        <f>IF(B13&gt;E13,B13-E13,0)</f>
        <v>0</v>
      </c>
      <c r="F14" s="8">
        <f>IF(C13&gt;F13,C13-F13,0)</f>
        <v>0</v>
      </c>
    </row>
    <row r="15" spans="1:6" s="3" customFormat="1" x14ac:dyDescent="0.2">
      <c r="A15" s="16" t="s">
        <v>49</v>
      </c>
      <c r="B15" s="12"/>
      <c r="C15" s="6"/>
      <c r="D15" s="11"/>
      <c r="E15" s="11"/>
      <c r="F15" s="11"/>
    </row>
    <row r="16" spans="1:6" s="3" customFormat="1" ht="22.5" x14ac:dyDescent="0.2">
      <c r="A16" s="16" t="s">
        <v>50</v>
      </c>
      <c r="B16" s="12"/>
      <c r="C16" s="6"/>
      <c r="D16" s="12"/>
      <c r="E16" s="9"/>
      <c r="F16" s="9"/>
    </row>
    <row r="17" spans="1:8" s="3" customFormat="1" x14ac:dyDescent="0.2">
      <c r="A17" s="16" t="s">
        <v>51</v>
      </c>
      <c r="B17" s="12"/>
      <c r="C17" s="6"/>
      <c r="D17" s="6"/>
      <c r="E17" s="10"/>
      <c r="F17" s="10"/>
      <c r="G17" s="2"/>
      <c r="H17" s="2"/>
    </row>
    <row r="18" spans="1:8" s="3" customFormat="1" x14ac:dyDescent="0.2">
      <c r="A18" s="1"/>
      <c r="B18" s="1"/>
      <c r="C18" s="1"/>
      <c r="D18" s="1"/>
      <c r="E18" s="2"/>
      <c r="F18" s="2"/>
      <c r="G18" s="2"/>
      <c r="H18" s="2"/>
    </row>
    <row r="19" spans="1:8" s="3" customFormat="1" x14ac:dyDescent="0.2">
      <c r="A19" s="36" t="s">
        <v>54</v>
      </c>
      <c r="B19" s="36"/>
      <c r="C19" s="36"/>
      <c r="D19" s="36"/>
      <c r="E19" s="36"/>
      <c r="F19" s="2"/>
      <c r="G19" s="2"/>
      <c r="H19" s="2"/>
    </row>
    <row r="20" spans="1:8" s="3" customFormat="1" ht="25.5" x14ac:dyDescent="0.2">
      <c r="A20" s="25" t="s">
        <v>47</v>
      </c>
      <c r="B20" s="14" t="s">
        <v>55</v>
      </c>
      <c r="C20" s="14" t="s">
        <v>56</v>
      </c>
      <c r="D20" s="14" t="s">
        <v>57</v>
      </c>
      <c r="E20" s="14" t="s">
        <v>58</v>
      </c>
      <c r="F20" s="2"/>
      <c r="G20" s="2"/>
      <c r="H20" s="2"/>
    </row>
    <row r="21" spans="1:8" s="3" customFormat="1" x14ac:dyDescent="0.2">
      <c r="A21" s="17" t="s">
        <v>22</v>
      </c>
      <c r="B21" s="28">
        <f>SUM(B22,B26)</f>
        <v>0</v>
      </c>
      <c r="C21" s="28">
        <f>SUM(C22,C26)</f>
        <v>0</v>
      </c>
      <c r="D21" s="27">
        <f t="shared" ref="D21:D22" si="0">C21-B21</f>
        <v>0</v>
      </c>
      <c r="E21" s="27">
        <f>0</f>
        <v>0</v>
      </c>
      <c r="F21" s="2"/>
      <c r="G21" s="2"/>
      <c r="H21" s="2"/>
    </row>
    <row r="22" spans="1:8" s="3" customFormat="1" x14ac:dyDescent="0.2">
      <c r="A22" s="19" t="s">
        <v>23</v>
      </c>
      <c r="B22" s="29">
        <f>SUM(B23:B25)</f>
        <v>0</v>
      </c>
      <c r="C22" s="29">
        <f>SUM(C23:C25)</f>
        <v>0</v>
      </c>
      <c r="D22" s="27">
        <f t="shared" si="0"/>
        <v>0</v>
      </c>
      <c r="E22" s="27">
        <f>0</f>
        <v>0</v>
      </c>
      <c r="F22" s="2"/>
      <c r="G22" s="2"/>
      <c r="H22" s="2"/>
    </row>
    <row r="23" spans="1:8" s="3" customFormat="1" ht="11.25" customHeight="1" x14ac:dyDescent="0.2">
      <c r="A23" s="21" t="s">
        <v>24</v>
      </c>
      <c r="B23" s="30">
        <f>0</f>
        <v>0</v>
      </c>
      <c r="C23" s="30">
        <f>0</f>
        <v>0</v>
      </c>
      <c r="D23" s="27">
        <f t="shared" ref="D23:D29" si="1">C23-B23</f>
        <v>0</v>
      </c>
      <c r="E23" s="27">
        <f>0</f>
        <v>0</v>
      </c>
      <c r="F23" s="2"/>
      <c r="G23" s="2"/>
      <c r="H23" s="2"/>
    </row>
    <row r="24" spans="1:8" s="3" customFormat="1" ht="11.25" customHeight="1" x14ac:dyDescent="0.2">
      <c r="A24" s="21" t="s">
        <v>25</v>
      </c>
      <c r="B24" s="30">
        <f>0</f>
        <v>0</v>
      </c>
      <c r="C24" s="30">
        <f>0</f>
        <v>0</v>
      </c>
      <c r="D24" s="27">
        <f t="shared" si="1"/>
        <v>0</v>
      </c>
      <c r="E24" s="27">
        <f>0</f>
        <v>0</v>
      </c>
      <c r="F24" s="2"/>
      <c r="G24" s="2"/>
      <c r="H24" s="2"/>
    </row>
    <row r="25" spans="1:8" s="3" customFormat="1" ht="25.5" x14ac:dyDescent="0.2">
      <c r="A25" s="21" t="s">
        <v>44</v>
      </c>
      <c r="B25" s="30">
        <f>0</f>
        <v>0</v>
      </c>
      <c r="C25" s="30">
        <f>0</f>
        <v>0</v>
      </c>
      <c r="D25" s="27">
        <f t="shared" si="1"/>
        <v>0</v>
      </c>
      <c r="E25" s="27">
        <f>0</f>
        <v>0</v>
      </c>
      <c r="F25" s="2"/>
      <c r="G25" s="2"/>
      <c r="H25" s="2"/>
    </row>
    <row r="26" spans="1:8" x14ac:dyDescent="0.2">
      <c r="A26" s="19" t="s">
        <v>26</v>
      </c>
      <c r="B26" s="29">
        <f>SUM(B27:B28)</f>
        <v>0</v>
      </c>
      <c r="C26" s="29">
        <f>SUM(C27:C28)</f>
        <v>0</v>
      </c>
      <c r="D26" s="27">
        <f t="shared" si="1"/>
        <v>0</v>
      </c>
      <c r="E26" s="27">
        <f>0</f>
        <v>0</v>
      </c>
      <c r="F26" s="2"/>
    </row>
    <row r="27" spans="1:8" ht="25.5" x14ac:dyDescent="0.2">
      <c r="A27" s="21" t="s">
        <v>27</v>
      </c>
      <c r="B27" s="30">
        <f>0</f>
        <v>0</v>
      </c>
      <c r="C27" s="30">
        <f>0</f>
        <v>0</v>
      </c>
      <c r="D27" s="27">
        <f t="shared" si="1"/>
        <v>0</v>
      </c>
      <c r="E27" s="27">
        <f>0</f>
        <v>0</v>
      </c>
      <c r="F27" s="2"/>
    </row>
    <row r="28" spans="1:8" ht="25.5" x14ac:dyDescent="0.2">
      <c r="A28" s="21" t="s">
        <v>45</v>
      </c>
      <c r="B28" s="30">
        <f>0</f>
        <v>0</v>
      </c>
      <c r="C28" s="30">
        <f>0</f>
        <v>0</v>
      </c>
      <c r="D28" s="27">
        <f t="shared" si="1"/>
        <v>0</v>
      </c>
      <c r="E28" s="27">
        <f>0</f>
        <v>0</v>
      </c>
      <c r="F28" s="2"/>
    </row>
    <row r="29" spans="1:8" x14ac:dyDescent="0.2">
      <c r="A29" s="23" t="s">
        <v>59</v>
      </c>
      <c r="B29" s="31">
        <f>B21</f>
        <v>0</v>
      </c>
      <c r="C29" s="31">
        <f>C21</f>
        <v>0</v>
      </c>
      <c r="D29" s="27">
        <f t="shared" si="1"/>
        <v>0</v>
      </c>
      <c r="E29" s="27">
        <f t="shared" ref="E29" si="2">E21</f>
        <v>0</v>
      </c>
      <c r="F29" s="2"/>
    </row>
    <row r="30" spans="1:8" x14ac:dyDescent="0.2">
      <c r="A30" s="17" t="s">
        <v>28</v>
      </c>
      <c r="B30" s="27">
        <f>B31</f>
        <v>0</v>
      </c>
      <c r="C30" s="27">
        <f>C31</f>
        <v>0</v>
      </c>
      <c r="D30" s="28">
        <f>C29-B29</f>
        <v>0</v>
      </c>
      <c r="E30" s="28">
        <f>0</f>
        <v>0</v>
      </c>
      <c r="F30" s="2"/>
    </row>
    <row r="31" spans="1:8" x14ac:dyDescent="0.2">
      <c r="A31" s="19" t="s">
        <v>29</v>
      </c>
      <c r="B31" s="29">
        <f>SUM(B32:B33)</f>
        <v>0</v>
      </c>
      <c r="C31" s="29">
        <f>SUM(C32:C33)</f>
        <v>0</v>
      </c>
      <c r="D31" s="27">
        <f>C31-B31</f>
        <v>0</v>
      </c>
      <c r="E31" s="27">
        <f>0</f>
        <v>0</v>
      </c>
      <c r="F31" s="2"/>
    </row>
    <row r="32" spans="1:8" x14ac:dyDescent="0.2">
      <c r="A32" s="21" t="s">
        <v>30</v>
      </c>
      <c r="B32" s="30">
        <f>0</f>
        <v>0</v>
      </c>
      <c r="C32" s="30">
        <f>0</f>
        <v>0</v>
      </c>
      <c r="D32" s="27">
        <f>C32-B32</f>
        <v>0</v>
      </c>
      <c r="E32" s="27">
        <f>0</f>
        <v>0</v>
      </c>
      <c r="F32" s="2"/>
    </row>
    <row r="33" spans="1:6" x14ac:dyDescent="0.2">
      <c r="A33" s="21" t="s">
        <v>31</v>
      </c>
      <c r="B33" s="30">
        <f>0</f>
        <v>0</v>
      </c>
      <c r="C33" s="30">
        <f>0</f>
        <v>0</v>
      </c>
      <c r="D33" s="27">
        <f>C33-B33</f>
        <v>0</v>
      </c>
      <c r="E33" s="27">
        <f>0</f>
        <v>0</v>
      </c>
      <c r="F33" s="2"/>
    </row>
    <row r="34" spans="1:6" x14ac:dyDescent="0.2">
      <c r="A34" s="23" t="s">
        <v>59</v>
      </c>
      <c r="B34" s="31">
        <f>B30</f>
        <v>0</v>
      </c>
      <c r="C34" s="31">
        <f>C30</f>
        <v>0</v>
      </c>
      <c r="D34" s="27">
        <f>C34-B34</f>
        <v>0</v>
      </c>
      <c r="E34" s="27">
        <f>0</f>
        <v>0</v>
      </c>
      <c r="F34" s="2"/>
    </row>
    <row r="35" spans="1:6" x14ac:dyDescent="0.2">
      <c r="A35" s="17" t="s">
        <v>32</v>
      </c>
      <c r="B35" s="27"/>
      <c r="C35" s="27"/>
      <c r="D35" s="28">
        <f>C34-B34</f>
        <v>0</v>
      </c>
      <c r="E35" s="28">
        <f>0</f>
        <v>0</v>
      </c>
      <c r="F35" s="2"/>
    </row>
    <row r="36" spans="1:6" x14ac:dyDescent="0.2">
      <c r="A36" s="23" t="s">
        <v>46</v>
      </c>
      <c r="B36" s="27"/>
      <c r="C36" s="27"/>
      <c r="D36" s="27"/>
      <c r="E36" s="27"/>
      <c r="F36" s="2"/>
    </row>
    <row r="37" spans="1:6" x14ac:dyDescent="0.2">
      <c r="A37" s="23" t="s">
        <v>33</v>
      </c>
      <c r="B37" s="26"/>
      <c r="C37" s="26"/>
      <c r="D37" s="33">
        <f>IF((D35+D30)&gt;=0,0,D35+D30)</f>
        <v>0</v>
      </c>
      <c r="E37" s="31">
        <f>IF((E35+E30)&gt;=0,0,E35+E30)</f>
        <v>0</v>
      </c>
      <c r="F37" s="2"/>
    </row>
    <row r="38" spans="1:6" x14ac:dyDescent="0.2">
      <c r="A38" s="23" t="s">
        <v>34</v>
      </c>
      <c r="B38" s="26"/>
      <c r="C38" s="26"/>
      <c r="D38" s="32"/>
      <c r="E38" s="32"/>
      <c r="F38" s="2"/>
    </row>
    <row r="39" spans="1:6" ht="25.5" x14ac:dyDescent="0.2">
      <c r="A39" s="23" t="s">
        <v>35</v>
      </c>
      <c r="B39" s="26"/>
      <c r="C39" s="26"/>
      <c r="D39" s="31">
        <f>IF((D35+D30)&lt;0,0,D35+D30)</f>
        <v>0</v>
      </c>
      <c r="E39" s="31">
        <f>IF((E35+E30)&lt;0,0,E35+E30)</f>
        <v>0</v>
      </c>
      <c r="F39" s="2"/>
    </row>
    <row r="40" spans="1:6" x14ac:dyDescent="0.2">
      <c r="A40" s="17" t="s">
        <v>36</v>
      </c>
      <c r="B40" s="28"/>
      <c r="C40" s="28"/>
      <c r="D40" s="27"/>
      <c r="E40" s="27"/>
    </row>
    <row r="41" spans="1:6" x14ac:dyDescent="0.2">
      <c r="A41" s="17" t="s">
        <v>37</v>
      </c>
      <c r="B41" s="28">
        <f>0</f>
        <v>0</v>
      </c>
      <c r="C41" s="28">
        <f>0</f>
        <v>0</v>
      </c>
      <c r="D41" s="27">
        <f>C41-B41</f>
        <v>0</v>
      </c>
      <c r="E41" s="27">
        <f>0</f>
        <v>0</v>
      </c>
    </row>
    <row r="42" spans="1:6" ht="25.5" x14ac:dyDescent="0.2">
      <c r="A42" s="17" t="s">
        <v>38</v>
      </c>
      <c r="B42" s="28">
        <f>0</f>
        <v>0</v>
      </c>
      <c r="C42" s="28">
        <f>0</f>
        <v>0</v>
      </c>
      <c r="D42" s="27">
        <f>C42-B42</f>
        <v>0</v>
      </c>
      <c r="E42" s="27">
        <f>0</f>
        <v>0</v>
      </c>
    </row>
    <row r="43" spans="1:6" x14ac:dyDescent="0.2">
      <c r="A43" s="23" t="s">
        <v>59</v>
      </c>
      <c r="B43" s="31">
        <f>B42+B41</f>
        <v>0</v>
      </c>
      <c r="C43" s="31">
        <f>C42+C41</f>
        <v>0</v>
      </c>
      <c r="D43" s="27">
        <f>C43-B43</f>
        <v>0</v>
      </c>
      <c r="E43" s="27">
        <f>E41+E42</f>
        <v>0</v>
      </c>
    </row>
    <row r="44" spans="1:6" x14ac:dyDescent="0.2">
      <c r="A44" s="17" t="s">
        <v>39</v>
      </c>
      <c r="B44" s="27"/>
      <c r="C44" s="27"/>
      <c r="D44" s="28">
        <f>C43-B43</f>
        <v>0</v>
      </c>
      <c r="E44" s="28">
        <f>0</f>
        <v>0</v>
      </c>
    </row>
    <row r="45" spans="1:6" ht="25.5" customHeight="1" x14ac:dyDescent="0.2">
      <c r="A45" s="37" t="s">
        <v>60</v>
      </c>
      <c r="B45" s="38"/>
      <c r="C45" s="39"/>
      <c r="D45" s="27"/>
      <c r="E45" s="27"/>
    </row>
    <row r="46" spans="1:6" x14ac:dyDescent="0.2">
      <c r="A46" s="37" t="s">
        <v>40</v>
      </c>
      <c r="B46" s="38"/>
      <c r="C46" s="39"/>
      <c r="D46" s="31">
        <f>IF((D37+D44)&gt;=0,0,(D37+D44))</f>
        <v>0</v>
      </c>
      <c r="E46" s="31">
        <f>IF((E37+E44)&gt;=0,0,(E37+E44))</f>
        <v>0</v>
      </c>
    </row>
    <row r="47" spans="1:6" x14ac:dyDescent="0.2">
      <c r="A47" s="37" t="s">
        <v>34</v>
      </c>
      <c r="B47" s="38"/>
      <c r="C47" s="39"/>
      <c r="D47" s="27"/>
      <c r="E47" s="27"/>
    </row>
    <row r="48" spans="1:6" x14ac:dyDescent="0.2">
      <c r="A48" s="37" t="s">
        <v>41</v>
      </c>
      <c r="B48" s="38"/>
      <c r="C48" s="39"/>
      <c r="D48" s="31">
        <f>IF((D39+D44)&lt;0,0,(D39+D44))</f>
        <v>0</v>
      </c>
      <c r="E48" s="31">
        <f>IF((E39+E44)&lt;0,0,(E39+E44))</f>
        <v>0</v>
      </c>
    </row>
    <row r="49" spans="1:1" ht="25.5" x14ac:dyDescent="0.2">
      <c r="A49" s="34" t="s">
        <v>61</v>
      </c>
    </row>
    <row r="50" spans="1:1" ht="25.5" x14ac:dyDescent="0.2">
      <c r="A50" s="34" t="s">
        <v>62</v>
      </c>
    </row>
    <row r="51" spans="1:1" ht="51" x14ac:dyDescent="0.2">
      <c r="A51" s="34" t="s">
        <v>63</v>
      </c>
    </row>
    <row r="52" spans="1:1" x14ac:dyDescent="0.2">
      <c r="A52" s="34" t="s">
        <v>64</v>
      </c>
    </row>
    <row r="53" spans="1:1" ht="63.75" x14ac:dyDescent="0.2">
      <c r="A53" s="34" t="s">
        <v>65</v>
      </c>
    </row>
  </sheetData>
  <mergeCells count="6">
    <mergeCell ref="A48:C48"/>
    <mergeCell ref="A1:F1"/>
    <mergeCell ref="A19:E19"/>
    <mergeCell ref="A45:C45"/>
    <mergeCell ref="A46:C46"/>
    <mergeCell ref="A47:C47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76" orientation="landscape" horizontalDpi="4294967292" r:id="rId1"/>
  <headerFooter alignWithMargins="0">
    <oddHeader>&amp;L&amp;8&amp;A
&amp;F&amp;CSystème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Tableau_Des_E_Et_R</vt:lpstr>
      <vt:lpstr>Tableau_Des_E_Et_R!Zone_d_impression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532-9. Modèles de tableau des emplois et des ressources - Tableau de financement en compte - Système développé</dc:title>
  <dc:creator>www.plancomptable.com</dc:creator>
  <cp:lastModifiedBy>DELL</cp:lastModifiedBy>
  <cp:lastPrinted>2004-12-27T15:56:58Z</cp:lastPrinted>
  <dcterms:created xsi:type="dcterms:W3CDTF">2000-11-24T14:16:08Z</dcterms:created>
  <dcterms:modified xsi:type="dcterms:W3CDTF">2020-02-03T17:19:19Z</dcterms:modified>
</cp:coreProperties>
</file>