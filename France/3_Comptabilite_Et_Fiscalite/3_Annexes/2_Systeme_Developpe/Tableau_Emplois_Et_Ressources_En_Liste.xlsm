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2_Systeme_Developpe\"/>
    </mc:Choice>
  </mc:AlternateContent>
  <bookViews>
    <workbookView xWindow="240" yWindow="60" windowWidth="11580" windowHeight="6030"/>
  </bookViews>
  <sheets>
    <sheet name="Tableau_E_Et_R_En_Liste" sheetId="1" r:id="rId1"/>
  </sheets>
  <calcPr calcId="152511"/>
</workbook>
</file>

<file path=xl/calcChain.xml><?xml version="1.0" encoding="utf-8"?>
<calcChain xmlns="http://schemas.openxmlformats.org/spreadsheetml/2006/main">
  <c r="C60" i="1" l="1"/>
  <c r="B60" i="1"/>
  <c r="C58" i="1"/>
  <c r="B58" i="1"/>
  <c r="C57" i="1"/>
  <c r="B57" i="1"/>
  <c r="C43" i="1"/>
  <c r="B43" i="1"/>
  <c r="B45" i="1"/>
  <c r="C45" i="1"/>
  <c r="B52" i="1"/>
  <c r="C52" i="1"/>
  <c r="C50" i="1"/>
  <c r="B50" i="1"/>
  <c r="C39" i="1"/>
  <c r="B36" i="1"/>
  <c r="C36" i="1"/>
  <c r="C35" i="1" s="1"/>
  <c r="C34" i="1" s="1"/>
  <c r="B37" i="1"/>
  <c r="C37" i="1"/>
  <c r="B38" i="1"/>
  <c r="C38" i="1"/>
  <c r="B40" i="1"/>
  <c r="C40" i="1"/>
  <c r="B41" i="1"/>
  <c r="B39" i="1" s="1"/>
  <c r="C41" i="1"/>
  <c r="B47" i="1"/>
  <c r="C47" i="1"/>
  <c r="B48" i="1"/>
  <c r="C48" i="1"/>
  <c r="B54" i="1"/>
  <c r="C54" i="1"/>
  <c r="C56" i="1" s="1"/>
  <c r="B55" i="1"/>
  <c r="B56" i="1" s="1"/>
  <c r="C55" i="1"/>
  <c r="B35" i="1" l="1"/>
  <c r="B34" i="1" s="1"/>
  <c r="C23" i="1"/>
  <c r="C22" i="1"/>
  <c r="C21" i="1"/>
  <c r="B23" i="1"/>
  <c r="B22" i="1"/>
  <c r="B21" i="1"/>
  <c r="B20" i="1"/>
  <c r="C20" i="1"/>
  <c r="C19" i="1"/>
  <c r="C18" i="1"/>
  <c r="B19" i="1"/>
  <c r="B18" i="1"/>
  <c r="C16" i="1"/>
  <c r="B16" i="1"/>
  <c r="C13" i="1"/>
  <c r="C12" i="1"/>
  <c r="C11" i="1"/>
  <c r="C10" i="1" s="1"/>
  <c r="C9" i="1"/>
  <c r="C8" i="1"/>
  <c r="C7" i="1"/>
  <c r="C6" i="1" s="1"/>
  <c r="B13" i="1"/>
  <c r="B12" i="1"/>
  <c r="B11" i="1"/>
  <c r="B9" i="1"/>
  <c r="B8" i="1"/>
  <c r="B7" i="1"/>
  <c r="B6" i="1" s="1"/>
  <c r="B5" i="1" s="1"/>
  <c r="C4" i="1"/>
  <c r="B4" i="1"/>
  <c r="C24" i="1" l="1"/>
  <c r="B24" i="1"/>
  <c r="B10" i="1"/>
  <c r="B3" i="1" s="1"/>
  <c r="B14" i="1" s="1"/>
  <c r="B26" i="1" s="1"/>
  <c r="C3" i="1"/>
  <c r="C14" i="1" s="1"/>
  <c r="C26" i="1" s="1"/>
  <c r="C5" i="1"/>
  <c r="C28" i="1" l="1"/>
  <c r="B28" i="1"/>
</calcChain>
</file>

<file path=xl/sharedStrings.xml><?xml version="1.0" encoding="utf-8"?>
<sst xmlns="http://schemas.openxmlformats.org/spreadsheetml/2006/main" count="70" uniqueCount="65">
  <si>
    <t>Ressources durables:</t>
  </si>
  <si>
    <t>Capacité d'autofinancement de l'exercice</t>
  </si>
  <si>
    <t>Cessions ou réductions d'éléments de l'actif immobilisé:</t>
  </si>
  <si>
    <t>Cessions d'immobilisations :</t>
  </si>
  <si>
    <t>incorporelles</t>
  </si>
  <si>
    <t>corporelles</t>
  </si>
  <si>
    <t>Cessions ou réductions d'immobilisations financières</t>
  </si>
  <si>
    <t>Augmentation des capitaux propres:</t>
  </si>
  <si>
    <t>Augmentation de capital ou apports</t>
  </si>
  <si>
    <t>Augmentation des autres capitaux propres</t>
  </si>
  <si>
    <t xml:space="preserve">Augmentation des dettes financières (a) (b)                      </t>
  </si>
  <si>
    <t>Emplois stables:</t>
  </si>
  <si>
    <t>Distributions mises en paiement au cours de l'exercice</t>
  </si>
  <si>
    <t>Acquisitions d'éléments de l'actif immobilisé:</t>
  </si>
  <si>
    <t>Immobilisations incorporelles</t>
  </si>
  <si>
    <t>Immobilisations corporelles</t>
  </si>
  <si>
    <t>Immobilisations financières</t>
  </si>
  <si>
    <t>Charges à répartir sur plusieurs exercices (c)</t>
  </si>
  <si>
    <t>Réduction des capitaux propres (réduction de capital, retraits)</t>
  </si>
  <si>
    <t>Remboursements de dettes financières (a)</t>
  </si>
  <si>
    <t>ou</t>
  </si>
  <si>
    <t>Variation "Exploitation":</t>
  </si>
  <si>
    <t>Variation des actifs d'exploitation (a)</t>
  </si>
  <si>
    <t>Stocks et en-cours</t>
  </si>
  <si>
    <t>Avances et acomptes versés sur commandes</t>
  </si>
  <si>
    <t>Avances et acomptes reçus sur commandes en cours</t>
  </si>
  <si>
    <t>A.</t>
  </si>
  <si>
    <t>Besoins de l'exercice en fonds de roulement</t>
  </si>
  <si>
    <t>Dégagement net de fonds de roulement dans l'exercice</t>
  </si>
  <si>
    <t>Variation "Hors exploitation" :</t>
  </si>
  <si>
    <t xml:space="preserve">Variation des autres débiteurs (a) (b) (e)    </t>
  </si>
  <si>
    <t>Variation des autres créditeurs (c) (d)</t>
  </si>
  <si>
    <t>B.</t>
  </si>
  <si>
    <t>Variation "Trésorerie"</t>
  </si>
  <si>
    <t>Emploi net (f)</t>
  </si>
  <si>
    <t>Ressource nette (g)</t>
  </si>
  <si>
    <t>Variation du fonds de roulement net global :</t>
  </si>
  <si>
    <t>Calcul de la variation du fonds de roulement net global</t>
  </si>
  <si>
    <t>Utilisation de la variation du fonds de roulement net global</t>
  </si>
  <si>
    <t>Variation des dettes d'exploitation (c):</t>
  </si>
  <si>
    <t>Variation des disponibilités (a)</t>
  </si>
  <si>
    <t>Variation des concours bancaires courants et soldes créditeurs de banques (c)</t>
  </si>
  <si>
    <t>Créances clients, comptes rattachés et autres créances d'exploitation (b)</t>
  </si>
  <si>
    <t>Dettes fournisseurs, comptes rattachés et autres dettes d'exploitation (d)</t>
  </si>
  <si>
    <t>Besoins de l'exercice en fonds de roulement "Hors exploitation"</t>
  </si>
  <si>
    <t>Dégagement net de fonds de roulement "Hors exploitation" au cours de l'exercice</t>
  </si>
  <si>
    <t>Total des ressources (I)</t>
  </si>
  <si>
    <t>Total des emplois (II)</t>
  </si>
  <si>
    <t>Utilisation de la variation du fonds de roulement net global (A+B+C) :</t>
  </si>
  <si>
    <t>Ressource nette (I-II)</t>
  </si>
  <si>
    <t>Emploi net (II-I)</t>
  </si>
  <si>
    <t>MODELE DE TABLEAU DES EMPLOIS ET DES RESSOURCES / Tableau de financement en liste</t>
  </si>
  <si>
    <t>Exercice N [€]</t>
  </si>
  <si>
    <t>Exercice N-1 [€]</t>
  </si>
  <si>
    <t>(a) Sauf concours bancaires courants et soldes créditeurs de banques.</t>
  </si>
  <si>
    <t>(b) Hors primes de remboursement des obligations.</t>
  </si>
  <si>
    <t>('c') Montant brut transféré dans l'exercice.</t>
  </si>
  <si>
    <t>C. Variation nette de trésorerie</t>
  </si>
  <si>
    <t>(a) Les augmentations des éléments d'actif concernés engendrent des besoins en fonds de roulement qui seront
affectés du signe (-). Inversement, les diminutions de ces éléments dégagent des ressources en fonds de
roulement qui seront affectées du signe (+).</t>
  </si>
  <si>
    <t>(b) Y compris charges constatées d'avance selon leur affectation à l'exploitation ou non.</t>
  </si>
  <si>
    <t>(c) Les augmentations des éléments de passif concernés dégagent des ressources en fonds de roulement qui
seront affectées du signe (+). Inversement, les diminutions de ces éléments engendrent des besoins en fonds de
roulement qui seront affectées du signe (-).</t>
  </si>
  <si>
    <t>(d) Y compris produits constatés d'avance selon leur affectation à l'exploitation ou non.</t>
  </si>
  <si>
    <t>(e) Y compris valeurs mobilières de placement.</t>
  </si>
  <si>
    <t>(f) Emploi net égal à la ressource nette dégagée par le calcul I - II précédent.</t>
  </si>
  <si>
    <t>(g) Ressource nette égale à l'emploi net dégagé par le calcul II - I précédent.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</si>
</sst>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7" formatCode="dd/mm/yy"/>
  </numFmts>
  <fonts count="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40">
    <xf numFmtId="0" fontId="0" fillId="0" borderId="0" xfId="0"/>
    <xf numFmtId="3" fontId="0" fillId="0" borderId="0" xfId="0" applyNumberFormat="1" applyBorder="1"/>
    <xf numFmtId="3" fontId="0" fillId="0" borderId="0" xfId="0" applyNumberFormat="1"/>
    <xf numFmtId="3" fontId="2" fillId="0" borderId="0" xfId="0" applyNumberFormat="1" applyFont="1" applyBorder="1"/>
    <xf numFmtId="3" fontId="1" fillId="0" borderId="0" xfId="0" applyNumberFormat="1" applyFont="1" applyFill="1" applyBorder="1" applyAlignment="1">
      <alignment horizontal="center" vertical="center"/>
    </xf>
    <xf numFmtId="3" fontId="1" fillId="0" borderId="0" xfId="0" applyNumberFormat="1" applyFont="1"/>
    <xf numFmtId="3" fontId="0" fillId="0" borderId="0" xfId="0" applyNumberFormat="1" applyFill="1" applyBorder="1"/>
    <xf numFmtId="3" fontId="1" fillId="0" borderId="0" xfId="0" applyNumberFormat="1" applyFont="1" applyFill="1"/>
    <xf numFmtId="3" fontId="1" fillId="0" borderId="0" xfId="0" applyNumberFormat="1" applyFont="1" applyFill="1" applyAlignment="1">
      <alignment horizontal="center" vertical="center"/>
    </xf>
    <xf numFmtId="3" fontId="1" fillId="2" borderId="2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1" fillId="3" borderId="2" xfId="0" applyNumberFormat="1" applyFont="1" applyFill="1" applyBorder="1" applyAlignment="1">
      <alignment horizontal="center" vertical="center" wrapText="1"/>
    </xf>
    <xf numFmtId="3" fontId="1" fillId="4" borderId="2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wrapText="1"/>
    </xf>
    <xf numFmtId="3" fontId="1" fillId="0" borderId="0" xfId="0" applyNumberFormat="1" applyFont="1" applyBorder="1" applyAlignment="1">
      <alignment horizontal="center" vertical="center" wrapText="1"/>
    </xf>
    <xf numFmtId="3" fontId="0" fillId="0" borderId="0" xfId="0" applyNumberFormat="1" applyBorder="1" applyAlignment="1">
      <alignment wrapText="1"/>
    </xf>
    <xf numFmtId="3" fontId="1" fillId="2" borderId="2" xfId="0" applyNumberFormat="1" applyFont="1" applyFill="1" applyBorder="1" applyAlignment="1">
      <alignment horizontal="center" vertical="center" wrapText="1"/>
    </xf>
    <xf numFmtId="167" fontId="1" fillId="2" borderId="2" xfId="0" applyNumberFormat="1" applyFont="1" applyFill="1" applyBorder="1" applyAlignment="1">
      <alignment horizontal="center" vertical="center" wrapText="1"/>
    </xf>
    <xf numFmtId="3" fontId="1" fillId="5" borderId="2" xfId="0" applyNumberFormat="1" applyFont="1" applyFill="1" applyBorder="1" applyAlignment="1">
      <alignment horizontal="center" vertical="center" wrapText="1"/>
    </xf>
    <xf numFmtId="44" fontId="1" fillId="5" borderId="2" xfId="1" applyFont="1" applyFill="1" applyBorder="1" applyAlignment="1">
      <alignment horizontal="center" vertical="center" wrapText="1"/>
    </xf>
    <xf numFmtId="3" fontId="1" fillId="6" borderId="2" xfId="0" applyNumberFormat="1" applyFont="1" applyFill="1" applyBorder="1" applyAlignment="1">
      <alignment horizontal="center" vertical="center" wrapText="1"/>
    </xf>
    <xf numFmtId="44" fontId="1" fillId="6" borderId="2" xfId="1" applyFont="1" applyFill="1" applyBorder="1" applyAlignment="1">
      <alignment horizontal="center" vertical="center" wrapText="1"/>
    </xf>
    <xf numFmtId="3" fontId="1" fillId="7" borderId="2" xfId="0" applyNumberFormat="1" applyFont="1" applyFill="1" applyBorder="1" applyAlignment="1">
      <alignment horizontal="center" vertical="center" wrapText="1"/>
    </xf>
    <xf numFmtId="44" fontId="1" fillId="7" borderId="2" xfId="1" applyFont="1" applyFill="1" applyBorder="1" applyAlignment="1">
      <alignment horizontal="center" vertical="center" wrapText="1"/>
    </xf>
    <xf numFmtId="3" fontId="1" fillId="8" borderId="2" xfId="0" applyNumberFormat="1" applyFont="1" applyFill="1" applyBorder="1" applyAlignment="1">
      <alignment horizontal="center" vertical="center" wrapText="1"/>
    </xf>
    <xf numFmtId="44" fontId="1" fillId="8" borderId="2" xfId="1" applyFont="1" applyFill="1" applyBorder="1" applyAlignment="1">
      <alignment horizontal="center" vertical="center" wrapText="1"/>
    </xf>
    <xf numFmtId="44" fontId="1" fillId="4" borderId="2" xfId="1" applyFont="1" applyFill="1" applyBorder="1" applyAlignment="1">
      <alignment horizontal="center" vertical="center" wrapText="1"/>
    </xf>
    <xf numFmtId="3" fontId="1" fillId="4" borderId="2" xfId="0" applyNumberFormat="1" applyFont="1" applyFill="1" applyBorder="1" applyAlignment="1">
      <alignment horizontal="center" vertical="center" wrapText="1"/>
    </xf>
    <xf numFmtId="3" fontId="1" fillId="4" borderId="3" xfId="0" applyNumberFormat="1" applyFont="1" applyFill="1" applyBorder="1" applyAlignment="1">
      <alignment horizontal="center" vertical="center" wrapText="1"/>
    </xf>
    <xf numFmtId="3" fontId="1" fillId="4" borderId="4" xfId="0" applyNumberFormat="1" applyFont="1" applyFill="1" applyBorder="1" applyAlignment="1">
      <alignment horizontal="center" vertical="center" wrapText="1"/>
    </xf>
    <xf numFmtId="3" fontId="1" fillId="4" borderId="5" xfId="0" applyNumberFormat="1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>
      <alignment horizontal="center" vertical="center" wrapText="1"/>
    </xf>
    <xf numFmtId="44" fontId="3" fillId="5" borderId="2" xfId="1" applyFont="1" applyFill="1" applyBorder="1" applyAlignment="1">
      <alignment horizontal="center" vertical="center" wrapText="1"/>
    </xf>
    <xf numFmtId="44" fontId="3" fillId="7" borderId="2" xfId="1" applyFont="1" applyFill="1" applyBorder="1" applyAlignment="1">
      <alignment horizontal="center" vertical="center" wrapText="1"/>
    </xf>
    <xf numFmtId="44" fontId="3" fillId="8" borderId="2" xfId="1" applyFont="1" applyFill="1" applyBorder="1" applyAlignment="1">
      <alignment horizontal="center" vertical="center" wrapText="1"/>
    </xf>
    <xf numFmtId="3" fontId="1" fillId="5" borderId="3" xfId="0" applyNumberFormat="1" applyFont="1" applyFill="1" applyBorder="1" applyAlignment="1">
      <alignment horizontal="center" vertical="center" wrapText="1"/>
    </xf>
    <xf numFmtId="3" fontId="1" fillId="5" borderId="4" xfId="0" applyNumberFormat="1" applyFont="1" applyFill="1" applyBorder="1" applyAlignment="1">
      <alignment horizontal="center" vertical="center" wrapText="1"/>
    </xf>
    <xf numFmtId="3" fontId="1" fillId="5" borderId="5" xfId="0" applyNumberFormat="1" applyFont="1" applyFill="1" applyBorder="1" applyAlignment="1">
      <alignment horizontal="center" vertical="center" wrapText="1"/>
    </xf>
    <xf numFmtId="44" fontId="3" fillId="4" borderId="2" xfId="1" applyFont="1" applyFill="1" applyBorder="1" applyAlignment="1">
      <alignment horizontal="center" vertical="center" wrapText="1"/>
    </xf>
    <xf numFmtId="3" fontId="0" fillId="3" borderId="2" xfId="0" applyNumberFormat="1" applyFill="1" applyBorder="1" applyAlignment="1">
      <alignment horizontal="center" vertical="center" wrapTex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D67"/>
  <sheetViews>
    <sheetView showGridLines="0" tabSelected="1" topLeftCell="A30" zoomScale="120" zoomScaleNormal="120" workbookViewId="0">
      <selection activeCell="A45" sqref="A45"/>
    </sheetView>
  </sheetViews>
  <sheetFormatPr baseColWidth="10" defaultRowHeight="12.75" x14ac:dyDescent="0.2"/>
  <cols>
    <col min="1" max="1" width="47.140625" style="1" bestFit="1" customWidth="1"/>
    <col min="2" max="2" width="12.28515625" style="1" bestFit="1" customWidth="1"/>
    <col min="3" max="3" width="11.85546875" style="1" bestFit="1" customWidth="1"/>
    <col min="4" max="4" width="3" style="2" customWidth="1"/>
    <col min="5" max="5" width="3.42578125" style="2" bestFit="1" customWidth="1"/>
    <col min="6" max="6" width="58" style="2" bestFit="1" customWidth="1"/>
    <col min="7" max="16384" width="11.42578125" style="2"/>
  </cols>
  <sheetData>
    <row r="1" spans="1:4" s="1" customFormat="1" ht="38.25" customHeight="1" x14ac:dyDescent="0.2">
      <c r="A1" s="16" t="s">
        <v>51</v>
      </c>
      <c r="B1" s="16"/>
      <c r="C1" s="16"/>
      <c r="D1" s="4"/>
    </row>
    <row r="2" spans="1:4" s="1" customFormat="1" ht="25.5" x14ac:dyDescent="0.2">
      <c r="A2" s="9" t="s">
        <v>37</v>
      </c>
      <c r="B2" s="17" t="s">
        <v>52</v>
      </c>
      <c r="C2" s="17" t="s">
        <v>53</v>
      </c>
    </row>
    <row r="3" spans="1:4" s="6" customFormat="1" ht="17.25" customHeight="1" x14ac:dyDescent="0.2">
      <c r="A3" s="18" t="s">
        <v>0</v>
      </c>
      <c r="B3" s="19">
        <f>SUM(B4:B5,B10)</f>
        <v>0</v>
      </c>
      <c r="C3" s="19">
        <f>SUM(C4:C5,C10)</f>
        <v>0</v>
      </c>
    </row>
    <row r="4" spans="1:4" s="6" customFormat="1" ht="17.25" customHeight="1" x14ac:dyDescent="0.2">
      <c r="A4" s="22" t="s">
        <v>1</v>
      </c>
      <c r="B4" s="23">
        <f>0</f>
        <v>0</v>
      </c>
      <c r="C4" s="23">
        <f>0</f>
        <v>0</v>
      </c>
    </row>
    <row r="5" spans="1:4" s="3" customFormat="1" ht="28.5" customHeight="1" x14ac:dyDescent="0.2">
      <c r="A5" s="22" t="s">
        <v>2</v>
      </c>
      <c r="B5" s="23">
        <f>SUM(B6,B9)</f>
        <v>0</v>
      </c>
      <c r="C5" s="23">
        <f>SUM(C6,C9)</f>
        <v>0</v>
      </c>
    </row>
    <row r="6" spans="1:4" s="1" customFormat="1" x14ac:dyDescent="0.2">
      <c r="A6" s="24" t="s">
        <v>3</v>
      </c>
      <c r="B6" s="25">
        <f>SUM(B7:B8)</f>
        <v>0</v>
      </c>
      <c r="C6" s="25">
        <f>SUM(C7:C8)</f>
        <v>0</v>
      </c>
    </row>
    <row r="7" spans="1:4" s="1" customFormat="1" x14ac:dyDescent="0.2">
      <c r="A7" s="20" t="s">
        <v>4</v>
      </c>
      <c r="B7" s="21">
        <f>0</f>
        <v>0</v>
      </c>
      <c r="C7" s="21">
        <f>0</f>
        <v>0</v>
      </c>
    </row>
    <row r="8" spans="1:4" s="1" customFormat="1" x14ac:dyDescent="0.2">
      <c r="A8" s="20" t="s">
        <v>5</v>
      </c>
      <c r="B8" s="21">
        <f>0</f>
        <v>0</v>
      </c>
      <c r="C8" s="21">
        <f>0</f>
        <v>0</v>
      </c>
    </row>
    <row r="9" spans="1:4" s="1" customFormat="1" x14ac:dyDescent="0.2">
      <c r="A9" s="24" t="s">
        <v>6</v>
      </c>
      <c r="B9" s="25">
        <f>0</f>
        <v>0</v>
      </c>
      <c r="C9" s="25">
        <f>0</f>
        <v>0</v>
      </c>
    </row>
    <row r="10" spans="1:4" s="1" customFormat="1" x14ac:dyDescent="0.2">
      <c r="A10" s="22" t="s">
        <v>7</v>
      </c>
      <c r="B10" s="23">
        <f>SUM(B11:B13)</f>
        <v>0</v>
      </c>
      <c r="C10" s="23">
        <f>SUM(C11:C13)</f>
        <v>0</v>
      </c>
    </row>
    <row r="11" spans="1:4" s="1" customFormat="1" x14ac:dyDescent="0.2">
      <c r="A11" s="24" t="s">
        <v>8</v>
      </c>
      <c r="B11" s="25">
        <f>0</f>
        <v>0</v>
      </c>
      <c r="C11" s="25">
        <f>0</f>
        <v>0</v>
      </c>
    </row>
    <row r="12" spans="1:4" s="1" customFormat="1" x14ac:dyDescent="0.2">
      <c r="A12" s="24" t="s">
        <v>9</v>
      </c>
      <c r="B12" s="25">
        <f>0</f>
        <v>0</v>
      </c>
      <c r="C12" s="25">
        <f>0</f>
        <v>0</v>
      </c>
    </row>
    <row r="13" spans="1:4" s="1" customFormat="1" x14ac:dyDescent="0.2">
      <c r="A13" s="24" t="s">
        <v>10</v>
      </c>
      <c r="B13" s="25">
        <f>0</f>
        <v>0</v>
      </c>
      <c r="C13" s="25">
        <f>0</f>
        <v>0</v>
      </c>
    </row>
    <row r="14" spans="1:4" s="1" customFormat="1" x14ac:dyDescent="0.2">
      <c r="A14" s="12" t="s">
        <v>46</v>
      </c>
      <c r="B14" s="26">
        <f>B3</f>
        <v>0</v>
      </c>
      <c r="C14" s="26">
        <f>C3</f>
        <v>0</v>
      </c>
    </row>
    <row r="15" spans="1:4" s="1" customFormat="1" x14ac:dyDescent="0.2">
      <c r="A15" s="18" t="s">
        <v>11</v>
      </c>
      <c r="B15" s="19"/>
      <c r="C15" s="19"/>
    </row>
    <row r="16" spans="1:4" s="1" customFormat="1" x14ac:dyDescent="0.2">
      <c r="A16" s="22" t="s">
        <v>12</v>
      </c>
      <c r="B16" s="23">
        <f>0</f>
        <v>0</v>
      </c>
      <c r="C16" s="23">
        <f>0</f>
        <v>0</v>
      </c>
    </row>
    <row r="17" spans="1:3" s="1" customFormat="1" x14ac:dyDescent="0.2">
      <c r="A17" s="22" t="s">
        <v>13</v>
      </c>
      <c r="B17" s="23"/>
      <c r="C17" s="23"/>
    </row>
    <row r="18" spans="1:3" s="1" customFormat="1" x14ac:dyDescent="0.2">
      <c r="A18" s="24" t="s">
        <v>14</v>
      </c>
      <c r="B18" s="25">
        <f>0</f>
        <v>0</v>
      </c>
      <c r="C18" s="25">
        <f>0</f>
        <v>0</v>
      </c>
    </row>
    <row r="19" spans="1:3" s="1" customFormat="1" x14ac:dyDescent="0.2">
      <c r="A19" s="24" t="s">
        <v>15</v>
      </c>
      <c r="B19" s="25">
        <f>0</f>
        <v>0</v>
      </c>
      <c r="C19" s="25">
        <f>0</f>
        <v>0</v>
      </c>
    </row>
    <row r="20" spans="1:3" x14ac:dyDescent="0.2">
      <c r="A20" s="24" t="s">
        <v>16</v>
      </c>
      <c r="B20" s="25">
        <f>0</f>
        <v>0</v>
      </c>
      <c r="C20" s="25">
        <f>0</f>
        <v>0</v>
      </c>
    </row>
    <row r="21" spans="1:3" s="5" customFormat="1" x14ac:dyDescent="0.2">
      <c r="A21" s="22" t="s">
        <v>17</v>
      </c>
      <c r="B21" s="23">
        <f>0</f>
        <v>0</v>
      </c>
      <c r="C21" s="23">
        <f>0</f>
        <v>0</v>
      </c>
    </row>
    <row r="22" spans="1:3" s="5" customFormat="1" ht="25.5" x14ac:dyDescent="0.2">
      <c r="A22" s="22" t="s">
        <v>18</v>
      </c>
      <c r="B22" s="23">
        <f>0</f>
        <v>0</v>
      </c>
      <c r="C22" s="23">
        <f>0</f>
        <v>0</v>
      </c>
    </row>
    <row r="23" spans="1:3" s="5" customFormat="1" x14ac:dyDescent="0.2">
      <c r="A23" s="22" t="s">
        <v>19</v>
      </c>
      <c r="B23" s="23">
        <f>0</f>
        <v>0</v>
      </c>
      <c r="C23" s="23">
        <f>0</f>
        <v>0</v>
      </c>
    </row>
    <row r="24" spans="1:3" s="5" customFormat="1" x14ac:dyDescent="0.2">
      <c r="A24" s="12" t="s">
        <v>47</v>
      </c>
      <c r="B24" s="26">
        <f>B23+B22+B21+B20+B19+B18+B16</f>
        <v>0</v>
      </c>
      <c r="C24" s="26">
        <f>C23+C22+C21+C20+C19+C18+C16</f>
        <v>0</v>
      </c>
    </row>
    <row r="25" spans="1:3" s="5" customFormat="1" x14ac:dyDescent="0.2">
      <c r="A25" s="28" t="s">
        <v>36</v>
      </c>
      <c r="B25" s="29"/>
      <c r="C25" s="30"/>
    </row>
    <row r="26" spans="1:3" s="5" customFormat="1" x14ac:dyDescent="0.2">
      <c r="A26" s="12" t="s">
        <v>49</v>
      </c>
      <c r="B26" s="26">
        <f>IF(B14&gt;=B24,B14-B24,0)</f>
        <v>0</v>
      </c>
      <c r="C26" s="26">
        <f>IF(C14&gt;=C24,C14-C24,0)</f>
        <v>0</v>
      </c>
    </row>
    <row r="27" spans="1:3" s="5" customFormat="1" x14ac:dyDescent="0.2">
      <c r="A27" s="27" t="s">
        <v>20</v>
      </c>
      <c r="B27" s="27"/>
      <c r="C27" s="27"/>
    </row>
    <row r="28" spans="1:3" s="5" customFormat="1" x14ac:dyDescent="0.2">
      <c r="A28" s="12" t="s">
        <v>50</v>
      </c>
      <c r="B28" s="26">
        <f>-IF(B24&gt;B14,B24-B14,0)</f>
        <v>0</v>
      </c>
      <c r="C28" s="26">
        <f>-IF(C24&gt;C14,C24-C14,0)</f>
        <v>0</v>
      </c>
    </row>
    <row r="29" spans="1:3" s="1" customFormat="1" ht="25.5" x14ac:dyDescent="0.2">
      <c r="A29" s="31" t="s">
        <v>54</v>
      </c>
      <c r="B29" s="10"/>
      <c r="C29" s="13"/>
    </row>
    <row r="30" spans="1:3" s="1" customFormat="1" x14ac:dyDescent="0.2">
      <c r="A30" s="11" t="s">
        <v>55</v>
      </c>
      <c r="B30" s="10"/>
      <c r="C30" s="14"/>
    </row>
    <row r="31" spans="1:3" s="1" customFormat="1" x14ac:dyDescent="0.2">
      <c r="A31" s="11" t="s">
        <v>56</v>
      </c>
      <c r="B31" s="10"/>
      <c r="C31" s="15"/>
    </row>
    <row r="32" spans="1:3" s="7" customFormat="1" x14ac:dyDescent="0.2">
      <c r="A32" s="8"/>
      <c r="B32" s="5"/>
      <c r="C32" s="5"/>
    </row>
    <row r="33" spans="1:4" s="5" customFormat="1" ht="25.5" x14ac:dyDescent="0.2">
      <c r="A33" s="9" t="s">
        <v>38</v>
      </c>
      <c r="B33" s="17" t="s">
        <v>52</v>
      </c>
      <c r="C33" s="17" t="s">
        <v>53</v>
      </c>
    </row>
    <row r="34" spans="1:4" s="5" customFormat="1" x14ac:dyDescent="0.2">
      <c r="A34" s="18" t="s">
        <v>21</v>
      </c>
      <c r="B34" s="32">
        <f>SUM(B35,B39)</f>
        <v>0</v>
      </c>
      <c r="C34" s="32">
        <f>SUM(C35,C39)</f>
        <v>0</v>
      </c>
      <c r="D34" s="4"/>
    </row>
    <row r="35" spans="1:4" s="5" customFormat="1" x14ac:dyDescent="0.2">
      <c r="A35" s="22" t="s">
        <v>22</v>
      </c>
      <c r="B35" s="33">
        <f>SUM(B36:B38)</f>
        <v>0</v>
      </c>
      <c r="C35" s="33">
        <f>SUM(C36:C38)</f>
        <v>0</v>
      </c>
      <c r="D35" s="8"/>
    </row>
    <row r="36" spans="1:4" s="1" customFormat="1" x14ac:dyDescent="0.2">
      <c r="A36" s="24" t="s">
        <v>23</v>
      </c>
      <c r="B36" s="34">
        <f>0</f>
        <v>0</v>
      </c>
      <c r="C36" s="34">
        <f>0</f>
        <v>0</v>
      </c>
      <c r="D36" s="8"/>
    </row>
    <row r="37" spans="1:4" s="5" customFormat="1" ht="11.25" customHeight="1" x14ac:dyDescent="0.2">
      <c r="A37" s="24" t="s">
        <v>24</v>
      </c>
      <c r="B37" s="34">
        <f>0</f>
        <v>0</v>
      </c>
      <c r="C37" s="34">
        <f>0</f>
        <v>0</v>
      </c>
      <c r="D37" s="8"/>
    </row>
    <row r="38" spans="1:4" s="5" customFormat="1" ht="25.5" x14ac:dyDescent="0.2">
      <c r="A38" s="24" t="s">
        <v>42</v>
      </c>
      <c r="B38" s="34">
        <f>0</f>
        <v>0</v>
      </c>
      <c r="C38" s="34">
        <f>0</f>
        <v>0</v>
      </c>
      <c r="D38" s="2"/>
    </row>
    <row r="39" spans="1:4" s="5" customFormat="1" ht="11.25" customHeight="1" x14ac:dyDescent="0.2">
      <c r="A39" s="22" t="s">
        <v>39</v>
      </c>
      <c r="B39" s="33">
        <f>SUM(B40:B41)</f>
        <v>0</v>
      </c>
      <c r="C39" s="33">
        <f>SUM(C40:C41)</f>
        <v>0</v>
      </c>
      <c r="D39" s="2"/>
    </row>
    <row r="40" spans="1:4" s="5" customFormat="1" ht="11.25" customHeight="1" x14ac:dyDescent="0.2">
      <c r="A40" s="24" t="s">
        <v>25</v>
      </c>
      <c r="B40" s="34">
        <f>0</f>
        <v>0</v>
      </c>
      <c r="C40" s="34">
        <f>0</f>
        <v>0</v>
      </c>
      <c r="D40" s="2"/>
    </row>
    <row r="41" spans="1:4" ht="25.5" x14ac:dyDescent="0.2">
      <c r="A41" s="24" t="s">
        <v>43</v>
      </c>
      <c r="B41" s="34">
        <f>0</f>
        <v>0</v>
      </c>
      <c r="C41" s="34">
        <f>0</f>
        <v>0</v>
      </c>
    </row>
    <row r="42" spans="1:4" x14ac:dyDescent="0.2">
      <c r="A42" s="28" t="s">
        <v>26</v>
      </c>
      <c r="B42" s="29"/>
      <c r="C42" s="30"/>
    </row>
    <row r="43" spans="1:4" x14ac:dyDescent="0.2">
      <c r="A43" s="12" t="s">
        <v>27</v>
      </c>
      <c r="B43" s="38">
        <f>IF((B34)&gt;=0,0,B34)</f>
        <v>0</v>
      </c>
      <c r="C43" s="38">
        <f>IF((C34)&gt;=0,0,C34)</f>
        <v>0</v>
      </c>
    </row>
    <row r="44" spans="1:4" x14ac:dyDescent="0.2">
      <c r="A44" s="28" t="s">
        <v>20</v>
      </c>
      <c r="B44" s="29"/>
      <c r="C44" s="30"/>
    </row>
    <row r="45" spans="1:4" x14ac:dyDescent="0.2">
      <c r="A45" s="12" t="s">
        <v>28</v>
      </c>
      <c r="B45" s="38">
        <f>IF((B34)&lt;0,0,B34)</f>
        <v>0</v>
      </c>
      <c r="C45" s="38">
        <f>IF((C34)&lt;0,0,C34)</f>
        <v>0</v>
      </c>
    </row>
    <row r="46" spans="1:4" x14ac:dyDescent="0.2">
      <c r="A46" s="35" t="s">
        <v>29</v>
      </c>
      <c r="B46" s="36"/>
      <c r="C46" s="37"/>
    </row>
    <row r="47" spans="1:4" x14ac:dyDescent="0.2">
      <c r="A47" s="22" t="s">
        <v>30</v>
      </c>
      <c r="B47" s="33">
        <f>0</f>
        <v>0</v>
      </c>
      <c r="C47" s="33">
        <f>0</f>
        <v>0</v>
      </c>
    </row>
    <row r="48" spans="1:4" x14ac:dyDescent="0.2">
      <c r="A48" s="22" t="s">
        <v>31</v>
      </c>
      <c r="B48" s="33">
        <f>0</f>
        <v>0</v>
      </c>
      <c r="C48" s="33">
        <f>0</f>
        <v>0</v>
      </c>
    </row>
    <row r="49" spans="1:3" x14ac:dyDescent="0.2">
      <c r="A49" s="28" t="s">
        <v>32</v>
      </c>
      <c r="B49" s="29"/>
      <c r="C49" s="30"/>
    </row>
    <row r="50" spans="1:3" ht="25.5" x14ac:dyDescent="0.2">
      <c r="A50" s="12" t="s">
        <v>44</v>
      </c>
      <c r="B50" s="38">
        <f>IF((B47+B48)&gt;=0,0,B47+B48)</f>
        <v>0</v>
      </c>
      <c r="C50" s="38">
        <f>IF((C47+C48)&gt;=0,0,C47+C48)</f>
        <v>0</v>
      </c>
    </row>
    <row r="51" spans="1:3" x14ac:dyDescent="0.2">
      <c r="A51" s="28" t="s">
        <v>20</v>
      </c>
      <c r="B51" s="29"/>
      <c r="C51" s="30"/>
    </row>
    <row r="52" spans="1:3" ht="25.5" x14ac:dyDescent="0.2">
      <c r="A52" s="12" t="s">
        <v>45</v>
      </c>
      <c r="B52" s="38">
        <f>IF((B47+B48)&lt;0,0,B47+B48)</f>
        <v>0</v>
      </c>
      <c r="C52" s="38">
        <f>IF((C47+C48)&lt;0,0,C47+C48)</f>
        <v>0</v>
      </c>
    </row>
    <row r="53" spans="1:3" x14ac:dyDescent="0.2">
      <c r="A53" s="35" t="s">
        <v>33</v>
      </c>
      <c r="B53" s="36"/>
      <c r="C53" s="37"/>
    </row>
    <row r="54" spans="1:3" x14ac:dyDescent="0.2">
      <c r="A54" s="22" t="s">
        <v>40</v>
      </c>
      <c r="B54" s="33">
        <f>0</f>
        <v>0</v>
      </c>
      <c r="C54" s="33">
        <f>0</f>
        <v>0</v>
      </c>
    </row>
    <row r="55" spans="1:3" ht="25.5" x14ac:dyDescent="0.2">
      <c r="A55" s="22" t="s">
        <v>41</v>
      </c>
      <c r="B55" s="33">
        <f>0</f>
        <v>0</v>
      </c>
      <c r="C55" s="33">
        <f>0</f>
        <v>0</v>
      </c>
    </row>
    <row r="56" spans="1:3" x14ac:dyDescent="0.2">
      <c r="A56" s="12" t="s">
        <v>57</v>
      </c>
      <c r="B56" s="38">
        <f>B54+B55</f>
        <v>0</v>
      </c>
      <c r="C56" s="38">
        <f>C54+C55</f>
        <v>0</v>
      </c>
    </row>
    <row r="57" spans="1:3" ht="25.5" customHeight="1" x14ac:dyDescent="0.2">
      <c r="A57" s="18" t="s">
        <v>48</v>
      </c>
      <c r="B57" s="19">
        <f>IF((B43+B45+B50+B52+B56)&gt;=0,0,B43+B45+B50+B52+B56)</f>
        <v>0</v>
      </c>
      <c r="C57" s="19">
        <f>IF((C43+C45+C50+C52+C56)&gt;=0,0,C43+C45+C50+C52+C56)</f>
        <v>0</v>
      </c>
    </row>
    <row r="58" spans="1:3" x14ac:dyDescent="0.2">
      <c r="A58" s="12" t="s">
        <v>34</v>
      </c>
      <c r="B58" s="38">
        <f>B26</f>
        <v>0</v>
      </c>
      <c r="C58" s="38">
        <f>C26</f>
        <v>0</v>
      </c>
    </row>
    <row r="59" spans="1:3" x14ac:dyDescent="0.2">
      <c r="A59" s="28" t="s">
        <v>20</v>
      </c>
      <c r="B59" s="29"/>
      <c r="C59" s="30"/>
    </row>
    <row r="60" spans="1:3" x14ac:dyDescent="0.2">
      <c r="A60" s="12" t="s">
        <v>35</v>
      </c>
      <c r="B60" s="38">
        <f>B28</f>
        <v>0</v>
      </c>
      <c r="C60" s="38">
        <f>C28</f>
        <v>0</v>
      </c>
    </row>
    <row r="61" spans="1:3" ht="76.5" x14ac:dyDescent="0.2">
      <c r="A61" s="39" t="s">
        <v>58</v>
      </c>
    </row>
    <row r="62" spans="1:3" ht="25.5" x14ac:dyDescent="0.2">
      <c r="A62" s="39" t="s">
        <v>59</v>
      </c>
    </row>
    <row r="63" spans="1:3" ht="89.25" x14ac:dyDescent="0.2">
      <c r="A63" s="39" t="s">
        <v>60</v>
      </c>
    </row>
    <row r="64" spans="1:3" ht="25.5" x14ac:dyDescent="0.2">
      <c r="A64" s="39" t="s">
        <v>61</v>
      </c>
    </row>
    <row r="65" spans="1:1" x14ac:dyDescent="0.2">
      <c r="A65" s="39" t="s">
        <v>62</v>
      </c>
    </row>
    <row r="66" spans="1:1" ht="25.5" x14ac:dyDescent="0.2">
      <c r="A66" s="39" t="s">
        <v>63</v>
      </c>
    </row>
    <row r="67" spans="1:1" ht="25.5" x14ac:dyDescent="0.2">
      <c r="A67" s="39" t="s">
        <v>64</v>
      </c>
    </row>
  </sheetData>
  <mergeCells count="10">
    <mergeCell ref="A51:C51"/>
    <mergeCell ref="A46:C46"/>
    <mergeCell ref="A59:C59"/>
    <mergeCell ref="A53:C53"/>
    <mergeCell ref="A1:C1"/>
    <mergeCell ref="A25:C25"/>
    <mergeCell ref="A27:C27"/>
    <mergeCell ref="A42:C42"/>
    <mergeCell ref="A44:C44"/>
    <mergeCell ref="A49:C49"/>
  </mergeCells>
  <phoneticPr fontId="0" type="noConversion"/>
  <pageMargins left="0.78740157499999996" right="0.78740157499999996" top="0.984251969" bottom="0.984251969" header="0.4921259845" footer="0.4921259845"/>
  <pageSetup paperSize="9" scale="92" orientation="portrait" horizontalDpi="4294967292" r:id="rId1"/>
  <headerFooter alignWithMargins="0">
    <oddHeader>&amp;L&amp;8&amp;A
&amp;F&amp;C&amp;8Système développé&amp;R&amp;8&amp;D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Tableau_E_Et_R_En_Liste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532-10. Modèles de tableau des emplois et des ressources - Tableau de financement en liste - Système développé</dc:title>
  <dc:creator>www.plancomptable.com</dc:creator>
  <cp:lastModifiedBy>DELL</cp:lastModifiedBy>
  <cp:lastPrinted>2004-12-23T10:08:17Z</cp:lastPrinted>
  <dcterms:created xsi:type="dcterms:W3CDTF">2000-11-24T14:16:08Z</dcterms:created>
  <dcterms:modified xsi:type="dcterms:W3CDTF">2020-01-31T18:07:01Z</dcterms:modified>
</cp:coreProperties>
</file>