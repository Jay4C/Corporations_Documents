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tabRatio="841" activeTab="26"/>
  </bookViews>
  <sheets>
    <sheet name="Compare_Tax_system" sheetId="1" r:id="rId1"/>
    <sheet name="Compare_Companies" sheetId="2" r:id="rId2"/>
    <sheet name="Compare_Trusts" sheetId="3" r:id="rId3"/>
    <sheet name="Tax_Treaties" sheetId="7" r:id="rId4"/>
    <sheet name="TIEA" sheetId="8" r:id="rId5"/>
    <sheet name="Death_Penalty" sheetId="18" state="hidden" r:id="rId6"/>
    <sheet name="Main_Airport" sheetId="15" state="hidden" r:id="rId7"/>
    <sheet name="Banks" sheetId="9" r:id="rId8"/>
    <sheet name="Temperature" sheetId="12" state="hidden" r:id="rId9"/>
    <sheet name="Precipitation" sheetId="17" state="hidden" r:id="rId10"/>
    <sheet name="Inflation_Rate" sheetId="23" state="hidden" r:id="rId11"/>
    <sheet name="Registry_Of_Commerce" sheetId="16" state="hidden" r:id="rId12"/>
    <sheet name="Spoken_Languages" sheetId="10" state="hidden" r:id="rId13"/>
    <sheet name="Annual_Fees_For_Corporations" sheetId="11" r:id="rId14"/>
    <sheet name="OECD_Members" sheetId="34" state="hidden" r:id="rId15"/>
    <sheet name="Property_Tax" sheetId="39" state="hidden" r:id="rId16"/>
    <sheet name="Become_Permanent_Resident" sheetId="37" state="hidden" r:id="rId17"/>
    <sheet name="Land_Area" sheetId="28" state="hidden" r:id="rId18"/>
    <sheet name="Price_Of_Square_Meter" sheetId="29" state="hidden" r:id="rId19"/>
    <sheet name="Unemployement_Rate" sheetId="30" state="hidden" r:id="rId20"/>
    <sheet name="Balance_Of_Trade" sheetId="31" state="hidden" r:id="rId21"/>
    <sheet name="Free_Mobile" sheetId="13" state="hidden" r:id="rId22"/>
    <sheet name="Get_Driver_License" sheetId="49" state="hidden" r:id="rId23"/>
    <sheet name="RFID_Chips_Required" sheetId="40" r:id="rId24"/>
    <sheet name="Capital_Gains_Tax_Rate" sheetId="44" state="hidden" r:id="rId25"/>
    <sheet name="Become_Citizen" sheetId="51" r:id="rId26"/>
    <sheet name="Virtual_Offices_Company" sheetId="50" r:id="rId27"/>
    <sheet name="P_O_Box_For_Private_Person" sheetId="43" r:id="rId28"/>
    <sheet name="Net_Worth_Tax" sheetId="45" state="hidden" r:id="rId29"/>
    <sheet name="Gun_Permit" sheetId="52" r:id="rId30"/>
    <sheet name="Social_Security_Rate" sheetId="20" state="hidden" r:id="rId31"/>
    <sheet name="Offshore_Tax" sheetId="46" state="hidden" r:id="rId32"/>
    <sheet name="Capital_Losses_Carry_Forward" sheetId="47" state="hidden" r:id="rId33"/>
    <sheet name="EU_Members" sheetId="33" state="hidden" r:id="rId34"/>
    <sheet name="Population" sheetId="27" state="hidden" r:id="rId35"/>
    <sheet name="Personal_Income_Tax" sheetId="25" state="hidden" r:id="rId36"/>
    <sheet name="VAT_Tax_Rate" sheetId="42" state="hidden" r:id="rId37"/>
    <sheet name="Final_Comparison" sheetId="53" r:id="rId38"/>
  </sheets>
  <calcPr calcId="152511"/>
</workbook>
</file>

<file path=xl/calcChain.xml><?xml version="1.0" encoding="utf-8"?>
<calcChain xmlns="http://schemas.openxmlformats.org/spreadsheetml/2006/main">
  <c r="B4" i="25" l="1"/>
  <c r="B28" i="17"/>
  <c r="C26" i="37" l="1"/>
  <c r="C23" i="37"/>
  <c r="C22" i="37"/>
  <c r="C20" i="37"/>
  <c r="C19" i="37"/>
  <c r="C18" i="37"/>
  <c r="C17" i="37"/>
  <c r="C16" i="37"/>
  <c r="C14" i="37"/>
  <c r="C13" i="37"/>
  <c r="C12" i="37"/>
  <c r="C11" i="37"/>
  <c r="C10" i="37"/>
  <c r="C9" i="37"/>
  <c r="C8" i="37"/>
  <c r="C7" i="37"/>
  <c r="C6" i="37"/>
  <c r="C5" i="37"/>
  <c r="C4" i="37"/>
  <c r="C3" i="37"/>
  <c r="C2" i="37"/>
  <c r="G26" i="43" l="1"/>
  <c r="G25" i="43"/>
  <c r="H21" i="43" l="1"/>
  <c r="G21" i="43"/>
  <c r="G20" i="43"/>
  <c r="B27" i="46"/>
  <c r="B26" i="46"/>
  <c r="B28" i="46"/>
  <c r="B25" i="46"/>
  <c r="B24" i="46"/>
  <c r="B23" i="46"/>
  <c r="B22" i="46"/>
  <c r="B21" i="46"/>
  <c r="B20" i="46"/>
  <c r="B18" i="46"/>
  <c r="B19" i="46"/>
  <c r="B17" i="46"/>
  <c r="B16" i="46"/>
  <c r="B15" i="46"/>
  <c r="B14" i="46"/>
  <c r="B13" i="46"/>
  <c r="B12" i="46"/>
  <c r="B10" i="46"/>
  <c r="B11" i="46"/>
  <c r="B9" i="46"/>
  <c r="B8" i="46"/>
  <c r="B7" i="46"/>
  <c r="B6" i="46"/>
  <c r="B2" i="46"/>
  <c r="B5" i="46"/>
  <c r="B4" i="46"/>
  <c r="B3" i="46"/>
  <c r="G15" i="43" l="1"/>
  <c r="G14" i="43"/>
  <c r="G13" i="43"/>
  <c r="G11" i="43"/>
  <c r="G8" i="43" l="1"/>
  <c r="G6" i="43"/>
  <c r="G3" i="43"/>
  <c r="B28" i="44"/>
  <c r="B27" i="44"/>
  <c r="B26" i="44"/>
  <c r="B25" i="44"/>
  <c r="B24" i="44"/>
  <c r="B23" i="44"/>
  <c r="B22" i="44"/>
  <c r="B21" i="44"/>
  <c r="B20" i="44"/>
  <c r="B19" i="44"/>
  <c r="B18" i="44"/>
  <c r="B17" i="44"/>
  <c r="B16" i="44"/>
  <c r="B15" i="44"/>
  <c r="B14" i="44"/>
  <c r="B13" i="44"/>
  <c r="B12" i="44"/>
  <c r="B11" i="44"/>
  <c r="B10" i="44"/>
  <c r="B9" i="44"/>
  <c r="B8" i="44"/>
  <c r="B7" i="44"/>
  <c r="B6" i="44"/>
  <c r="B5" i="44"/>
  <c r="B4" i="44"/>
  <c r="B3" i="44"/>
  <c r="B2" i="44"/>
  <c r="B2" i="39" l="1"/>
  <c r="C25" i="29" l="1"/>
  <c r="C13" i="29"/>
  <c r="B13" i="29"/>
  <c r="B25" i="29"/>
  <c r="C23" i="29"/>
  <c r="B23" i="29"/>
  <c r="C18" i="29"/>
  <c r="B18" i="29"/>
  <c r="C17" i="29"/>
  <c r="B17" i="29"/>
  <c r="C14" i="29"/>
  <c r="B14" i="29"/>
  <c r="C12" i="29"/>
  <c r="B12" i="29"/>
  <c r="C11" i="29"/>
  <c r="B11" i="29"/>
  <c r="C28" i="29"/>
  <c r="C27" i="29"/>
  <c r="B28" i="29"/>
  <c r="B27" i="29"/>
  <c r="C10" i="29"/>
  <c r="B10" i="29"/>
  <c r="C22" i="29"/>
  <c r="B22" i="29"/>
  <c r="C20" i="29"/>
  <c r="B20" i="29"/>
  <c r="C26" i="29"/>
  <c r="B26" i="29"/>
  <c r="C19" i="29"/>
  <c r="B19" i="29"/>
  <c r="C9" i="29"/>
  <c r="B9" i="29"/>
  <c r="C8" i="29"/>
  <c r="B8" i="29"/>
  <c r="C7" i="29"/>
  <c r="B7" i="29"/>
  <c r="C6" i="29"/>
  <c r="B6" i="29"/>
  <c r="C5" i="29"/>
  <c r="B5" i="29"/>
  <c r="C4" i="29"/>
  <c r="B4" i="29"/>
  <c r="C3" i="29"/>
  <c r="B3" i="29"/>
  <c r="C2" i="29"/>
  <c r="B2" i="29"/>
  <c r="B26" i="31" l="1"/>
  <c r="B25" i="31"/>
  <c r="B24" i="31"/>
  <c r="B23" i="31"/>
  <c r="B22" i="31"/>
  <c r="B21" i="31"/>
  <c r="B20" i="31"/>
  <c r="B19" i="31"/>
  <c r="B18" i="31"/>
  <c r="B17" i="31"/>
  <c r="B10" i="31"/>
  <c r="B9" i="31"/>
  <c r="B5" i="31"/>
  <c r="B4" i="31"/>
  <c r="B3" i="31"/>
  <c r="B27" i="31"/>
  <c r="B14" i="31"/>
  <c r="B11" i="31"/>
  <c r="B8" i="31"/>
  <c r="B2" i="31"/>
  <c r="B6" i="31"/>
  <c r="B7" i="31"/>
  <c r="B27" i="23"/>
  <c r="B26" i="23"/>
  <c r="B25" i="23"/>
  <c r="B24" i="23"/>
  <c r="B23" i="23"/>
  <c r="B22" i="23"/>
  <c r="B21" i="23"/>
  <c r="B20" i="23"/>
  <c r="B19" i="23"/>
  <c r="B18" i="23"/>
  <c r="B17" i="23"/>
  <c r="B16" i="23"/>
  <c r="B15" i="23"/>
  <c r="B14" i="23"/>
  <c r="B12" i="23"/>
  <c r="B11" i="23"/>
  <c r="B10" i="23"/>
  <c r="B9" i="23"/>
  <c r="B8" i="23"/>
  <c r="B7" i="23"/>
  <c r="B6" i="23"/>
  <c r="B5" i="23"/>
  <c r="B4" i="23"/>
  <c r="B3" i="23"/>
  <c r="B2" i="23"/>
  <c r="B27" i="30" l="1"/>
  <c r="B26" i="30"/>
  <c r="B25" i="30"/>
  <c r="B23" i="30"/>
  <c r="B22" i="30"/>
  <c r="B20" i="30"/>
  <c r="B19" i="30"/>
  <c r="B18" i="30"/>
  <c r="B17" i="30"/>
  <c r="B16" i="30"/>
  <c r="B15" i="30"/>
  <c r="B14" i="30"/>
  <c r="B12" i="30"/>
  <c r="B11" i="30"/>
  <c r="B10" i="30"/>
  <c r="B9" i="30"/>
  <c r="B8" i="30"/>
  <c r="B7" i="30"/>
  <c r="B6" i="30"/>
  <c r="B5" i="30"/>
  <c r="B4" i="30"/>
  <c r="B3" i="30"/>
  <c r="B2" i="30"/>
  <c r="B28" i="28"/>
  <c r="B27" i="28"/>
  <c r="B26" i="28"/>
  <c r="B25" i="28"/>
  <c r="B23" i="28"/>
  <c r="B22" i="28"/>
  <c r="B20" i="28"/>
  <c r="B19" i="28"/>
  <c r="B18" i="28"/>
  <c r="B17" i="28"/>
  <c r="B16" i="28"/>
  <c r="B15" i="28"/>
  <c r="B14" i="28"/>
  <c r="B12" i="28"/>
  <c r="B11" i="28"/>
  <c r="B10" i="28"/>
  <c r="B9" i="28"/>
  <c r="B8" i="28"/>
  <c r="B6" i="28"/>
  <c r="B7" i="28"/>
  <c r="B5" i="28"/>
  <c r="B4" i="28"/>
  <c r="B3" i="28"/>
  <c r="B2" i="28"/>
  <c r="C27" i="20" l="1"/>
  <c r="B27" i="20"/>
  <c r="C26" i="20"/>
  <c r="B26" i="20"/>
  <c r="C25" i="20"/>
  <c r="B25" i="20"/>
  <c r="C23" i="20"/>
  <c r="B23" i="20"/>
  <c r="C22" i="20"/>
  <c r="B22" i="20"/>
  <c r="C20" i="20"/>
  <c r="B20" i="20"/>
  <c r="C19" i="20"/>
  <c r="B19" i="20"/>
  <c r="C18" i="20"/>
  <c r="B18" i="20"/>
  <c r="C16" i="20"/>
  <c r="C14" i="20"/>
  <c r="B14" i="20"/>
  <c r="C12" i="20"/>
  <c r="B12" i="20"/>
  <c r="C10" i="20"/>
  <c r="B10" i="20"/>
  <c r="C9" i="20"/>
  <c r="B9" i="20"/>
  <c r="B4" i="20"/>
  <c r="C4" i="20"/>
  <c r="C3" i="20"/>
  <c r="B3" i="20"/>
  <c r="C2" i="20"/>
  <c r="B2" i="20"/>
  <c r="B27" i="17"/>
  <c r="B26" i="17"/>
  <c r="B25" i="17"/>
  <c r="B24" i="17"/>
  <c r="B23" i="17"/>
  <c r="B22" i="17"/>
  <c r="B21" i="17"/>
  <c r="B20" i="17"/>
  <c r="B19" i="17"/>
  <c r="B18" i="17"/>
  <c r="B17" i="17"/>
  <c r="B28" i="42" l="1"/>
  <c r="B27" i="42"/>
  <c r="B26" i="42"/>
  <c r="B25" i="42"/>
  <c r="B24" i="42"/>
  <c r="B23" i="42"/>
  <c r="B22" i="42"/>
  <c r="B21" i="42"/>
  <c r="B20" i="42"/>
  <c r="B19" i="42"/>
  <c r="B18" i="42"/>
  <c r="B17" i="42"/>
  <c r="B16" i="42"/>
  <c r="B15" i="42"/>
  <c r="B14" i="42"/>
  <c r="B13" i="42"/>
  <c r="B12" i="42"/>
  <c r="B11" i="42"/>
  <c r="B10" i="42"/>
  <c r="B9" i="42"/>
  <c r="B8" i="42"/>
  <c r="B7" i="42"/>
  <c r="B6" i="42"/>
  <c r="B5" i="42"/>
  <c r="B4" i="42"/>
  <c r="B3" i="42"/>
  <c r="B2" i="42"/>
  <c r="B28" i="25"/>
  <c r="B27" i="25"/>
  <c r="B26" i="25"/>
  <c r="B25" i="25"/>
  <c r="B23" i="25"/>
  <c r="B22" i="25"/>
  <c r="B20" i="25"/>
  <c r="B19" i="25"/>
  <c r="B18" i="25"/>
  <c r="B17" i="25"/>
  <c r="B16" i="25"/>
  <c r="B15" i="25"/>
  <c r="B14" i="25"/>
  <c r="B10" i="25"/>
  <c r="B9" i="25"/>
  <c r="B8" i="25"/>
  <c r="B7" i="25"/>
  <c r="B6" i="25"/>
  <c r="B3" i="25"/>
  <c r="B27" i="27" l="1"/>
  <c r="B26" i="27"/>
  <c r="B25" i="27"/>
  <c r="B23" i="27"/>
  <c r="B22" i="27"/>
  <c r="B20" i="27"/>
  <c r="B19" i="27"/>
  <c r="B18" i="27"/>
  <c r="B17" i="27"/>
  <c r="B16" i="27"/>
  <c r="B15" i="27"/>
  <c r="B14" i="27"/>
  <c r="B12" i="27"/>
  <c r="B11" i="27"/>
  <c r="B10" i="27"/>
  <c r="B9" i="27"/>
  <c r="B8" i="27"/>
  <c r="B7" i="27"/>
  <c r="B5" i="27"/>
  <c r="B4" i="27"/>
  <c r="B6" i="27"/>
  <c r="B3" i="27"/>
  <c r="B2" i="27"/>
  <c r="C21" i="29" l="1"/>
  <c r="C24" i="29"/>
  <c r="B24" i="29"/>
  <c r="B21" i="29"/>
  <c r="B24" i="28"/>
  <c r="B21" i="28"/>
  <c r="B13" i="28"/>
  <c r="C24" i="20"/>
  <c r="B24" i="20"/>
  <c r="B21" i="20"/>
  <c r="C21" i="20"/>
  <c r="C13" i="20"/>
  <c r="B13" i="20"/>
  <c r="B13" i="31"/>
  <c r="B24" i="30"/>
  <c r="B21" i="30"/>
  <c r="B13" i="30"/>
  <c r="B24" i="27"/>
  <c r="B21" i="27"/>
  <c r="B13" i="27"/>
  <c r="B13" i="23"/>
  <c r="B24" i="25"/>
  <c r="B21" i="25"/>
  <c r="B13" i="25"/>
  <c r="B15" i="17" l="1"/>
  <c r="B14" i="17"/>
  <c r="B13" i="17"/>
  <c r="B12" i="17"/>
  <c r="B16" i="17" s="1"/>
  <c r="B11" i="17"/>
  <c r="B10" i="17"/>
  <c r="B9" i="17"/>
  <c r="B8" i="17"/>
  <c r="B7" i="17"/>
  <c r="B6" i="17"/>
  <c r="B5" i="17"/>
  <c r="B4" i="17"/>
  <c r="B3" i="17"/>
  <c r="B2" i="17"/>
  <c r="AF13" i="2" l="1"/>
  <c r="AE13" i="2"/>
  <c r="B28" i="12" l="1"/>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alcChain>
</file>

<file path=xl/comments1.xml><?xml version="1.0" encoding="utf-8"?>
<comments xmlns="http://schemas.openxmlformats.org/spreadsheetml/2006/main">
  <authors>
    <author>Auteur</author>
  </authors>
  <commentList>
    <comment ref="B17" authorId="0">
      <text>
        <r>
          <rPr>
            <b/>
            <sz val="9"/>
            <color indexed="81"/>
            <rFont val="Tahoma"/>
            <family val="2"/>
          </rPr>
          <t>Auteur:</t>
        </r>
        <r>
          <rPr>
            <sz val="9"/>
            <color indexed="81"/>
            <rFont val="Tahoma"/>
            <family val="2"/>
          </rPr>
          <t xml:space="preserve">
Liechtenstein does not have an airport, but does have a heliport in the southern town of Balzers. The nearest international airports are St. Gallen-Altenrhein Airport in Switzerland and Friedrichshafen Airport in Germany, which have few scheduled flights.</t>
        </r>
      </text>
    </comment>
  </commentList>
</comments>
</file>

<file path=xl/comments2.xml><?xml version="1.0" encoding="utf-8"?>
<comments xmlns="http://schemas.openxmlformats.org/spreadsheetml/2006/main">
  <authors>
    <author>Auteur</author>
  </authors>
  <commentList>
    <comment ref="H1" authorId="0">
      <text>
        <r>
          <rPr>
            <b/>
            <sz val="9"/>
            <color indexed="81"/>
            <rFont val="Tahoma"/>
            <family val="2"/>
          </rPr>
          <t>Auteur:</t>
        </r>
        <r>
          <rPr>
            <sz val="9"/>
            <color indexed="81"/>
            <rFont val="Tahoma"/>
            <family val="2"/>
          </rPr>
          <t xml:space="preserve">
https://en.wikipedia.org/wiki/List_of_banks_in_Seychelles</t>
        </r>
      </text>
    </comment>
    <comment ref="N1" authorId="0">
      <text>
        <r>
          <rPr>
            <b/>
            <sz val="9"/>
            <color indexed="81"/>
            <rFont val="Tahoma"/>
            <family val="2"/>
          </rPr>
          <t>Auteur:</t>
        </r>
        <r>
          <rPr>
            <sz val="9"/>
            <color indexed="81"/>
            <rFont val="Tahoma"/>
            <family val="2"/>
          </rPr>
          <t xml:space="preserve">
https://www.offshorebanksdirectory.com/en/offshore-banks/andorra-banks/</t>
        </r>
      </text>
    </comment>
    <comment ref="T1" authorId="0">
      <text>
        <r>
          <rPr>
            <b/>
            <sz val="9"/>
            <color indexed="81"/>
            <rFont val="Tahoma"/>
            <family val="2"/>
          </rPr>
          <t>Auteur:</t>
        </r>
        <r>
          <rPr>
            <sz val="9"/>
            <color indexed="81"/>
            <rFont val="Tahoma"/>
            <family val="2"/>
          </rPr>
          <t xml:space="preserve">
https://www.offshorebanksdirectory.com/en/offshore-banks/bahamas-banks/</t>
        </r>
      </text>
    </comment>
    <comment ref="Z1" authorId="0">
      <text>
        <r>
          <rPr>
            <b/>
            <sz val="9"/>
            <color indexed="81"/>
            <rFont val="Tahoma"/>
            <family val="2"/>
          </rPr>
          <t>Auteur:</t>
        </r>
        <r>
          <rPr>
            <sz val="9"/>
            <color indexed="81"/>
            <rFont val="Tahoma"/>
            <family val="2"/>
          </rPr>
          <t xml:space="preserve">
https://www.offshorebanksdirectory.com/en/offshore-banks/barbados-banks/</t>
        </r>
      </text>
    </comment>
    <comment ref="AF1" authorId="0">
      <text>
        <r>
          <rPr>
            <b/>
            <sz val="9"/>
            <color indexed="81"/>
            <rFont val="Tahoma"/>
            <family val="2"/>
          </rPr>
          <t>Auteur:</t>
        </r>
        <r>
          <rPr>
            <sz val="9"/>
            <color indexed="81"/>
            <rFont val="Tahoma"/>
            <family val="2"/>
          </rPr>
          <t xml:space="preserve">
https://www.offshorebanksdirectory.com/en/offshore-banks/belize-banks/</t>
        </r>
      </text>
    </comment>
    <comment ref="AL1" authorId="0">
      <text>
        <r>
          <rPr>
            <b/>
            <sz val="9"/>
            <color indexed="81"/>
            <rFont val="Tahoma"/>
            <family val="2"/>
          </rPr>
          <t>Auteur:</t>
        </r>
        <r>
          <rPr>
            <sz val="9"/>
            <color indexed="81"/>
            <rFont val="Tahoma"/>
            <family val="2"/>
          </rPr>
          <t xml:space="preserve">
https://www.offshorebanksdirectory.com/en/offshore-banks/bermuda-banks/</t>
        </r>
      </text>
    </comment>
    <comment ref="AR1" authorId="0">
      <text>
        <r>
          <rPr>
            <b/>
            <sz val="9"/>
            <color indexed="81"/>
            <rFont val="Tahoma"/>
            <charset val="1"/>
          </rPr>
          <t>Auteur:</t>
        </r>
        <r>
          <rPr>
            <sz val="9"/>
            <color indexed="81"/>
            <rFont val="Tahoma"/>
            <charset val="1"/>
          </rPr>
          <t xml:space="preserve">
https://www.offshorebanksdirectory.com/en/offshore-banks/british-virgin-islands-banks/</t>
        </r>
      </text>
    </comment>
    <comment ref="AX1" authorId="0">
      <text>
        <r>
          <rPr>
            <b/>
            <sz val="9"/>
            <color indexed="81"/>
            <rFont val="Tahoma"/>
            <family val="2"/>
          </rPr>
          <t>Auteur:</t>
        </r>
        <r>
          <rPr>
            <sz val="9"/>
            <color indexed="81"/>
            <rFont val="Tahoma"/>
            <family val="2"/>
          </rPr>
          <t xml:space="preserve">
https://www.offshorebanksdirectory.com/en/offshore-banks/cyprus-banks/</t>
        </r>
      </text>
    </comment>
    <comment ref="BD1" authorId="0">
      <text>
        <r>
          <rPr>
            <b/>
            <sz val="9"/>
            <color indexed="81"/>
            <rFont val="Tahoma"/>
            <family val="2"/>
          </rPr>
          <t>Auteur:</t>
        </r>
        <r>
          <rPr>
            <sz val="9"/>
            <color indexed="81"/>
            <rFont val="Tahoma"/>
            <family val="2"/>
          </rPr>
          <t xml:space="preserve">
https://en.wikipedia.org/wiki/List_of_banks_in_Egypt</t>
        </r>
      </text>
    </comment>
    <comment ref="BJ1" authorId="0">
      <text>
        <r>
          <rPr>
            <b/>
            <sz val="9"/>
            <color indexed="81"/>
            <rFont val="Tahoma"/>
            <family val="2"/>
          </rPr>
          <t>Auteur:</t>
        </r>
        <r>
          <rPr>
            <sz val="9"/>
            <color indexed="81"/>
            <rFont val="Tahoma"/>
            <family val="2"/>
          </rPr>
          <t xml:space="preserve">
https://www.offshorebanksdirectory.com/en/offshore-banks/gibraltar-banks/</t>
        </r>
      </text>
    </comment>
    <comment ref="BP1" authorId="0">
      <text>
        <r>
          <rPr>
            <b/>
            <sz val="9"/>
            <color indexed="81"/>
            <rFont val="Tahoma"/>
            <family val="2"/>
          </rPr>
          <t>Auteur:</t>
        </r>
        <r>
          <rPr>
            <sz val="9"/>
            <color indexed="81"/>
            <rFont val="Tahoma"/>
            <family val="2"/>
          </rPr>
          <t xml:space="preserve">
https://en.wikipedia.org/wiki/List_of_banks_in_Guernsey</t>
        </r>
      </text>
    </comment>
    <comment ref="BV1" authorId="0">
      <text>
        <r>
          <rPr>
            <b/>
            <sz val="9"/>
            <color indexed="81"/>
            <rFont val="Tahoma"/>
            <family val="2"/>
          </rPr>
          <t>Auteur:</t>
        </r>
        <r>
          <rPr>
            <sz val="9"/>
            <color indexed="81"/>
            <rFont val="Tahoma"/>
            <family val="2"/>
          </rPr>
          <t xml:space="preserve">
https://en.wikipedia.org/wiki/List_of_banks_in_Hong_Kong</t>
        </r>
      </text>
    </comment>
    <comment ref="CB1" authorId="0">
      <text>
        <r>
          <rPr>
            <b/>
            <sz val="9"/>
            <color indexed="81"/>
            <rFont val="Tahoma"/>
            <family val="2"/>
          </rPr>
          <t>Auteur:</t>
        </r>
        <r>
          <rPr>
            <sz val="9"/>
            <color indexed="81"/>
            <rFont val="Tahoma"/>
            <family val="2"/>
          </rPr>
          <t xml:space="preserve">
https://en.wikipedia.org/wiki/List_of_banks_in_the_Republic_of_Ireland</t>
        </r>
      </text>
    </comment>
    <comment ref="CH1" authorId="0">
      <text>
        <r>
          <rPr>
            <b/>
            <sz val="9"/>
            <color indexed="81"/>
            <rFont val="Tahoma"/>
            <family val="2"/>
          </rPr>
          <t>Auteur:</t>
        </r>
        <r>
          <rPr>
            <sz val="9"/>
            <color indexed="81"/>
            <rFont val="Tahoma"/>
            <family val="2"/>
          </rPr>
          <t xml:space="preserve">
https://en.wikipedia.org/wiki/List_of_banks_in_the_Isle_of_Man</t>
        </r>
      </text>
    </comment>
    <comment ref="CN1" authorId="0">
      <text>
        <r>
          <rPr>
            <b/>
            <sz val="9"/>
            <color indexed="81"/>
            <rFont val="Tahoma"/>
            <family val="2"/>
          </rPr>
          <t>Auteur:</t>
        </r>
        <r>
          <rPr>
            <sz val="9"/>
            <color indexed="81"/>
            <rFont val="Tahoma"/>
            <family val="2"/>
          </rPr>
          <t xml:space="preserve">
https://en.wikipedia.org/wiki/List_of_banks_in_Jersey</t>
        </r>
      </text>
    </comment>
    <comment ref="CT1" authorId="0">
      <text>
        <r>
          <rPr>
            <b/>
            <sz val="9"/>
            <color indexed="81"/>
            <rFont val="Tahoma"/>
            <family val="2"/>
          </rPr>
          <t>Auteur:</t>
        </r>
        <r>
          <rPr>
            <sz val="9"/>
            <color indexed="81"/>
            <rFont val="Tahoma"/>
            <family val="2"/>
          </rPr>
          <t xml:space="preserve">
https://en.wikipedia.org/wiki/List_of_banks_in_Liechtenstein</t>
        </r>
      </text>
    </comment>
    <comment ref="CZ1" authorId="0">
      <text>
        <r>
          <rPr>
            <b/>
            <sz val="9"/>
            <color indexed="81"/>
            <rFont val="Tahoma"/>
            <family val="2"/>
          </rPr>
          <t>Auteur:</t>
        </r>
        <r>
          <rPr>
            <sz val="9"/>
            <color indexed="81"/>
            <rFont val="Tahoma"/>
            <family val="2"/>
          </rPr>
          <t xml:space="preserve">
https://en.wikipedia.org/wiki/List_of_banks_in_Lithuania</t>
        </r>
      </text>
    </comment>
    <comment ref="DF1" authorId="0">
      <text>
        <r>
          <rPr>
            <b/>
            <sz val="9"/>
            <color indexed="81"/>
            <rFont val="Tahoma"/>
            <family val="2"/>
          </rPr>
          <t>Auteur:</t>
        </r>
        <r>
          <rPr>
            <sz val="9"/>
            <color indexed="81"/>
            <rFont val="Tahoma"/>
            <family val="2"/>
          </rPr>
          <t xml:space="preserve">
https://en.wikipedia.org/wiki/List_of_banks_in_Luxembourg</t>
        </r>
      </text>
    </comment>
    <comment ref="DL1" authorId="0">
      <text>
        <r>
          <rPr>
            <b/>
            <sz val="9"/>
            <color indexed="81"/>
            <rFont val="Tahoma"/>
            <family val="2"/>
          </rPr>
          <t>Auteur:</t>
        </r>
        <r>
          <rPr>
            <sz val="9"/>
            <color indexed="81"/>
            <rFont val="Tahoma"/>
            <family val="2"/>
          </rPr>
          <t xml:space="preserve">
https://en.wikipedia.org/wiki/List_of_banks_in_Malta</t>
        </r>
      </text>
    </comment>
    <comment ref="DR1" authorId="0">
      <text>
        <r>
          <rPr>
            <b/>
            <sz val="9"/>
            <color indexed="81"/>
            <rFont val="Tahoma"/>
            <family val="2"/>
          </rPr>
          <t>Auteur:</t>
        </r>
        <r>
          <rPr>
            <sz val="9"/>
            <color indexed="81"/>
            <rFont val="Tahoma"/>
            <family val="2"/>
          </rPr>
          <t xml:space="preserve">
https://en.wikipedia.org/wiki/List_of_banks_in_Mauritius</t>
        </r>
      </text>
    </comment>
    <comment ref="DX1" authorId="0">
      <text>
        <r>
          <rPr>
            <b/>
            <sz val="9"/>
            <color indexed="81"/>
            <rFont val="Tahoma"/>
            <family val="2"/>
          </rPr>
          <t>Auteur:</t>
        </r>
        <r>
          <rPr>
            <sz val="9"/>
            <color indexed="81"/>
            <rFont val="Tahoma"/>
            <family val="2"/>
          </rPr>
          <t xml:space="preserve">
https://en.wikipedia.org/wiki/List_of_banks_in_the_Netherlands</t>
        </r>
      </text>
    </comment>
    <comment ref="ED1" authorId="0">
      <text>
        <r>
          <rPr>
            <b/>
            <sz val="9"/>
            <color indexed="81"/>
            <rFont val="Tahoma"/>
            <family val="2"/>
          </rPr>
          <t>Auteur:</t>
        </r>
        <r>
          <rPr>
            <sz val="9"/>
            <color indexed="81"/>
            <rFont val="Tahoma"/>
            <family val="2"/>
          </rPr>
          <t xml:space="preserve">
https://en.wikipedia.org/wiki/Category:Banks_of_Panama</t>
        </r>
      </text>
    </comment>
    <comment ref="EJ1" authorId="0">
      <text>
        <r>
          <rPr>
            <b/>
            <sz val="9"/>
            <color indexed="81"/>
            <rFont val="Tahoma"/>
            <family val="2"/>
          </rPr>
          <t>Auteur:</t>
        </r>
        <r>
          <rPr>
            <sz val="9"/>
            <color indexed="81"/>
            <rFont val="Tahoma"/>
            <family val="2"/>
          </rPr>
          <t xml:space="preserve">
https://en.wikipedia.org/wiki/List_of_banks_in_Singapore</t>
        </r>
      </text>
    </comment>
    <comment ref="EP1" authorId="0">
      <text>
        <r>
          <rPr>
            <b/>
            <sz val="9"/>
            <color indexed="81"/>
            <rFont val="Tahoma"/>
            <family val="2"/>
          </rPr>
          <t>Auteur:</t>
        </r>
        <r>
          <rPr>
            <sz val="9"/>
            <color indexed="81"/>
            <rFont val="Tahoma"/>
            <family val="2"/>
          </rPr>
          <t xml:space="preserve">
https://en.wikipedia.org/wiki/List_of_banks_in_Switzerland</t>
        </r>
      </text>
    </comment>
    <comment ref="EV1" authorId="0">
      <text>
        <r>
          <rPr>
            <b/>
            <sz val="9"/>
            <color indexed="81"/>
            <rFont val="Tahoma"/>
            <family val="2"/>
          </rPr>
          <t>Auteur:</t>
        </r>
        <r>
          <rPr>
            <sz val="9"/>
            <color indexed="81"/>
            <rFont val="Tahoma"/>
            <family val="2"/>
          </rPr>
          <t xml:space="preserve">
https://en.wikipedia.org/wiki/List_of_banks_in_the_United_Arab_Emirates</t>
        </r>
      </text>
    </comment>
    <comment ref="FB1" authorId="0">
      <text>
        <r>
          <rPr>
            <b/>
            <sz val="9"/>
            <color indexed="81"/>
            <rFont val="Tahoma"/>
            <family val="2"/>
          </rPr>
          <t>Auteur:</t>
        </r>
        <r>
          <rPr>
            <sz val="9"/>
            <color indexed="81"/>
            <rFont val="Tahoma"/>
            <family val="2"/>
          </rPr>
          <t xml:space="preserve">
https://en.wikipedia.org/wiki/List_of_banks_in_the_United_Arab_Emirates</t>
        </r>
      </text>
    </comment>
  </commentList>
</comments>
</file>

<file path=xl/comments3.xml><?xml version="1.0" encoding="utf-8"?>
<comments xmlns="http://schemas.openxmlformats.org/spreadsheetml/2006/main">
  <authors>
    <author>Auteur</author>
  </authors>
  <commentList>
    <comment ref="B2" authorId="0">
      <text>
        <r>
          <rPr>
            <b/>
            <sz val="9"/>
            <color indexed="81"/>
            <rFont val="Tahoma"/>
            <charset val="1"/>
          </rPr>
          <t>Auteur:</t>
        </r>
        <r>
          <rPr>
            <sz val="9"/>
            <color indexed="81"/>
            <rFont val="Tahoma"/>
            <charset val="1"/>
          </rPr>
          <t xml:space="preserve">
https://www.globalpropertyguide.com/Europe/Andorra/Taxes-and-Costs</t>
        </r>
      </text>
    </comment>
    <comment ref="B3" authorId="0">
      <text>
        <r>
          <rPr>
            <b/>
            <sz val="9"/>
            <color indexed="81"/>
            <rFont val="Tahoma"/>
            <charset val="1"/>
          </rPr>
          <t>Auteur:</t>
        </r>
        <r>
          <rPr>
            <sz val="9"/>
            <color indexed="81"/>
            <rFont val="Tahoma"/>
            <charset val="1"/>
          </rPr>
          <t xml:space="preserve">
http://www.coldwellbankerbahamas.com/page-bahamas-real-estate-buyers-guide-7.html
</t>
        </r>
      </text>
    </comment>
    <comment ref="B4" authorId="0">
      <text>
        <r>
          <rPr>
            <b/>
            <sz val="9"/>
            <color indexed="81"/>
            <rFont val="Tahoma"/>
            <charset val="1"/>
          </rPr>
          <t>Auteur:</t>
        </r>
        <r>
          <rPr>
            <sz val="9"/>
            <color indexed="81"/>
            <rFont val="Tahoma"/>
            <charset val="1"/>
          </rPr>
          <t xml:space="preserve">
http://businessbarbados.com/investor-guide/taxation/land-tax/</t>
        </r>
      </text>
    </comment>
    <comment ref="B5" authorId="0">
      <text>
        <r>
          <rPr>
            <b/>
            <sz val="9"/>
            <color indexed="81"/>
            <rFont val="Tahoma"/>
            <charset val="1"/>
          </rPr>
          <t>Auteur:</t>
        </r>
        <r>
          <rPr>
            <sz val="9"/>
            <color indexed="81"/>
            <rFont val="Tahoma"/>
            <charset val="1"/>
          </rPr>
          <t xml:space="preserve">
https://www.belizeproperty.com/buying-land-in-belize.html</t>
        </r>
      </text>
    </comment>
    <comment ref="B6" authorId="0">
      <text>
        <r>
          <rPr>
            <b/>
            <sz val="9"/>
            <color indexed="81"/>
            <rFont val="Tahoma"/>
            <charset val="1"/>
          </rPr>
          <t>Auteur:</t>
        </r>
        <r>
          <rPr>
            <sz val="9"/>
            <color indexed="81"/>
            <rFont val="Tahoma"/>
            <charset val="1"/>
          </rPr>
          <t xml:space="preserve">
https://www.bermuda-attractions.com/bermuda_0001b7.htm
https://www.gov.bm/types-taxes-bermuda</t>
        </r>
      </text>
    </comment>
    <comment ref="B7" authorId="0">
      <text>
        <r>
          <rPr>
            <b/>
            <sz val="9"/>
            <color indexed="81"/>
            <rFont val="Tahoma"/>
            <charset val="1"/>
          </rPr>
          <t>Auteur:</t>
        </r>
        <r>
          <rPr>
            <sz val="9"/>
            <color indexed="81"/>
            <rFont val="Tahoma"/>
            <charset val="1"/>
          </rPr>
          <t xml:space="preserve">
http://www.bvi.gov.vg/content/property-tax
Land owned by British Virgin Islander or BVI Company: $10.00 on the first acre or part thereof; $3.00 on each acre, or part acre, thereafter.
Land owned by An Expatriate: $50.00 for half acre or less; $150.00 for greater than half acre and not exceeding 1 acre; An additional $50.00 for any additional acre or part there of.
House Tax - 1 1/2 % per annum on the notional annual income value of the house</t>
        </r>
      </text>
    </comment>
    <comment ref="B8" authorId="0">
      <text>
        <r>
          <rPr>
            <b/>
            <sz val="9"/>
            <color indexed="81"/>
            <rFont val="Tahoma"/>
            <family val="2"/>
          </rPr>
          <t>Auteur:</t>
        </r>
        <r>
          <rPr>
            <sz val="9"/>
            <color indexed="81"/>
            <rFont val="Tahoma"/>
            <charset val="1"/>
          </rPr>
          <t xml:space="preserve">
http://www.cireba.com/tax-free</t>
        </r>
      </text>
    </comment>
    <comment ref="B9" authorId="0">
      <text>
        <r>
          <rPr>
            <b/>
            <sz val="9"/>
            <color indexed="81"/>
            <rFont val="Tahoma"/>
            <family val="2"/>
          </rPr>
          <t>Auteur:</t>
        </r>
        <r>
          <rPr>
            <sz val="9"/>
            <color indexed="81"/>
            <rFont val="Tahoma"/>
            <family val="2"/>
          </rPr>
          <t xml:space="preserve">
Value of Property                 Rate
(as of 1/1/1980)
Up to €40.000                    0,6%
€ 40.001 – €120.000           0,8%
€120.001 – €170.000          0,9%
€170.001 – €300.000          1,1%
€300.001 – €500.000          1,3%
€500.001 – €800.000          1,5%
€800.001 – €3.000.000       1,7%
Over €3.000.000                 1,9%
https://www.cybarco.com/annual-property-taxes-and-fees-in-cyprus
https://afaudit.com/immovable-property-tax-law-in-cyprus/</t>
        </r>
      </text>
    </comment>
    <comment ref="B10" authorId="0">
      <text>
        <r>
          <rPr>
            <b/>
            <sz val="9"/>
            <color indexed="81"/>
            <rFont val="Tahoma"/>
            <family val="2"/>
          </rPr>
          <t>Auteur:</t>
        </r>
        <r>
          <rPr>
            <sz val="9"/>
            <color indexed="81"/>
            <rFont val="Tahoma"/>
            <family val="2"/>
          </rPr>
          <t xml:space="preserve">
Egypt Property Tax - Property which is valued at under LE 500,000 EGP, as well as property with an annual rental income of less than LE6,000 is tax exempt.
Property valued above that figure will be taxed based on an assessment of its annual rental value and under new legislation there is a stipulated levy of 10% of a property’s annual rental value after deducting 30% to 32% as maintenance costs. The balance is taxable at a standard rate of up to 20% rate of personal and corporate income.
http://www.egypt-property-law.com/taxes.html
https://www.propertyshowrooms.com/egypt/property/egypt-property-tax.asp
https://www.globalpropertyguide.com/Middle-East/Egypt/Taxes-and-Costs</t>
        </r>
      </text>
    </comment>
    <comment ref="B11" authorId="0">
      <text>
        <r>
          <rPr>
            <b/>
            <sz val="9"/>
            <color indexed="81"/>
            <rFont val="Tahoma"/>
            <family val="2"/>
          </rPr>
          <t>Auteur:</t>
        </r>
        <r>
          <rPr>
            <sz val="9"/>
            <color indexed="81"/>
            <rFont val="Tahoma"/>
            <family val="2"/>
          </rPr>
          <t xml:space="preserve">
https://www.pwc.gi/publications/assets/TaxFacts201718.pdf
Rate of 10%</t>
        </r>
      </text>
    </comment>
    <comment ref="B12" authorId="0">
      <text>
        <r>
          <rPr>
            <b/>
            <sz val="9"/>
            <color indexed="81"/>
            <rFont val="Tahoma"/>
            <family val="2"/>
          </rPr>
          <t>Auteur:</t>
        </r>
        <r>
          <rPr>
            <sz val="9"/>
            <color indexed="81"/>
            <rFont val="Tahoma"/>
            <family val="2"/>
          </rPr>
          <t xml:space="preserve">
https://www.gov.gg/cadastre
Units of Measurement. One TRP unit = 1 square metre of built property    or    One TRP unit = 50 square metres of land.
https://www.gov.gg/CHttpHandler.ashx?id=111480&amp;p=0</t>
        </r>
      </text>
    </comment>
    <comment ref="B13" authorId="0">
      <text>
        <r>
          <rPr>
            <b/>
            <sz val="9"/>
            <color indexed="81"/>
            <rFont val="Tahoma"/>
            <family val="2"/>
          </rPr>
          <t>Auteur:</t>
        </r>
        <r>
          <rPr>
            <sz val="9"/>
            <color indexed="81"/>
            <rFont val="Tahoma"/>
            <family val="2"/>
          </rPr>
          <t xml:space="preserve">
https://asiabc.co/guide-to-hk/property-tax-of-hong-kong-explained/
https://www.gov.hk/en/residents/taxes/property/index.htm
Tax rate: 15%</t>
        </r>
      </text>
    </comment>
    <comment ref="B14" authorId="0">
      <text>
        <r>
          <rPr>
            <b/>
            <sz val="9"/>
            <color indexed="81"/>
            <rFont val="Tahoma"/>
            <family val="2"/>
          </rPr>
          <t>Auteur:</t>
        </r>
        <r>
          <rPr>
            <sz val="9"/>
            <color indexed="81"/>
            <rFont val="Tahoma"/>
            <family val="2"/>
          </rPr>
          <t xml:space="preserve">
https://en.wikipedia.org/wiki/Local_property_tax_(Ireland)
Valuation band (€):Midpoint of valuation band (€):LPT in 2014 (1 yr) (€)
0 to 100,000:50,000:90
100,001 to 150,000:125,000:225
150,001 to 200,000:175,000:315
200,001 to 250,000 225,000 405
250,001 to 300,000 275,000 495
300,001 to 350,000 325,000 585
350,001 to 400,000 375,000 675
400,001 to 450,000 425,000 765
450,001 to 500,000 475,000 855
500,001 to 550,000 525,000 945
550,001 to 600,000 575,000 1,035
600,001 to 650,000 625,000 1,125
650,001 to 700,000 675,000 1,215
700,001 to 750,000 725,000 1,305
750,001 to 800,000 775,000 1,395
800,001 to 850,000 825,000 1,485
850,001 to 900,000 875,000 1,575
900,001 to 950,000 925,000 1,665
950,001 to 1,000,000 975,000 1,755</t>
        </r>
      </text>
    </comment>
    <comment ref="B15" authorId="0">
      <text>
        <r>
          <rPr>
            <b/>
            <sz val="9"/>
            <color indexed="81"/>
            <rFont val="Tahoma"/>
            <family val="2"/>
          </rPr>
          <t>Auteur:</t>
        </r>
        <r>
          <rPr>
            <sz val="9"/>
            <color indexed="81"/>
            <rFont val="Tahoma"/>
            <family val="2"/>
          </rPr>
          <t xml:space="preserve">
https://www.gov.im/categories/tax-vat-and-your-money/rates/rates-valuation/</t>
        </r>
      </text>
    </comment>
    <comment ref="B16" authorId="0">
      <text>
        <r>
          <rPr>
            <b/>
            <sz val="9"/>
            <color indexed="81"/>
            <rFont val="Tahoma"/>
            <family val="2"/>
          </rPr>
          <t>Auteur:</t>
        </r>
        <r>
          <rPr>
            <sz val="9"/>
            <color indexed="81"/>
            <rFont val="Tahoma"/>
            <family val="2"/>
          </rPr>
          <t xml:space="preserve">
https://www.gov.je/TaxesMoney/IncomeTax/Individuals/TypesTaxableIncome/Pages/PropertyIncome.aspx</t>
        </r>
      </text>
    </comment>
    <comment ref="B17" authorId="0">
      <text>
        <r>
          <rPr>
            <b/>
            <sz val="9"/>
            <color indexed="81"/>
            <rFont val="Tahoma"/>
            <family val="2"/>
          </rPr>
          <t>Auteur:</t>
        </r>
        <r>
          <rPr>
            <sz val="9"/>
            <color indexed="81"/>
            <rFont val="Tahoma"/>
            <family val="2"/>
          </rPr>
          <t xml:space="preserve">
https://www.globalpropertyguide.com/Europe/Liechtenstein/Taxes-and-Costs</t>
        </r>
      </text>
    </comment>
    <comment ref="B18" authorId="0">
      <text>
        <r>
          <rPr>
            <b/>
            <sz val="9"/>
            <color indexed="81"/>
            <rFont val="Tahoma"/>
            <family val="2"/>
          </rPr>
          <t>Auteur:</t>
        </r>
        <r>
          <rPr>
            <sz val="9"/>
            <color indexed="81"/>
            <rFont val="Tahoma"/>
            <family val="2"/>
          </rPr>
          <t xml:space="preserve">
As of 2018 Lithuanian and foreign individuals owning real estate other than that of commercial use in Lithuania are subject to 0.5%-2% real estate tax on the taxable value exceeding EUR 220,000 of the whole real estate owned.
https://home.kpmg.com/xx/en/home/insights/2015/10/lithuania-other-taxes-and-levies.html
https://finmin.lrv.lt/en/competence-areas/taxation/main-taxes/real-estate-tax
http://taxguide.lt/real-estate-tax/</t>
        </r>
      </text>
    </comment>
    <comment ref="B19" authorId="0">
      <text>
        <r>
          <rPr>
            <b/>
            <sz val="9"/>
            <color indexed="81"/>
            <rFont val="Tahoma"/>
            <charset val="1"/>
          </rPr>
          <t>Auteur:</t>
        </r>
        <r>
          <rPr>
            <sz val="9"/>
            <color indexed="81"/>
            <rFont val="Tahoma"/>
            <charset val="1"/>
          </rPr>
          <t xml:space="preserve">
https://guichet.public.lu/en/entreprises/fiscalite/impots-benefices/impots-divers/impot-foncier.html
https://www.expatica.com/lu/housing/Buying-Luxembourg-real-estate_696063.html</t>
        </r>
      </text>
    </comment>
    <comment ref="B20" authorId="0">
      <text>
        <r>
          <rPr>
            <b/>
            <sz val="9"/>
            <color indexed="81"/>
            <rFont val="Tahoma"/>
            <charset val="1"/>
          </rPr>
          <t>Auteur:</t>
        </r>
        <r>
          <rPr>
            <sz val="9"/>
            <color indexed="81"/>
            <rFont val="Tahoma"/>
            <charset val="1"/>
          </rPr>
          <t xml:space="preserve">
https://www.ccmalta.com/publications/tax_on_purchase_of_property</t>
        </r>
      </text>
    </comment>
    <comment ref="B21" authorId="0">
      <text>
        <r>
          <rPr>
            <b/>
            <sz val="9"/>
            <color indexed="81"/>
            <rFont val="Tahoma"/>
            <charset val="1"/>
          </rPr>
          <t>Auteur:</t>
        </r>
        <r>
          <rPr>
            <sz val="9"/>
            <color indexed="81"/>
            <rFont val="Tahoma"/>
            <charset val="1"/>
          </rPr>
          <t xml:space="preserve">
National Residential Property Tax (NRPT)
This tax is levied on residential properties in Mauritius. The tax base is the total surface area for residential land, or the floor area for flats and apartments.
https://www.globalpropertyguide.com/Africa/Mauritius/Taxes-and-Costs
</t>
        </r>
      </text>
    </comment>
    <comment ref="B22" authorId="0">
      <text>
        <r>
          <rPr>
            <b/>
            <sz val="9"/>
            <color indexed="81"/>
            <rFont val="Tahoma"/>
            <charset val="1"/>
          </rPr>
          <t>Auteur:</t>
        </r>
        <r>
          <rPr>
            <sz val="9"/>
            <color indexed="81"/>
            <rFont val="Tahoma"/>
            <charset val="1"/>
          </rPr>
          <t xml:space="preserve">
https://www.globalpropertyguide.com/Europe/Netherlands/Taxes-and-Costs</t>
        </r>
      </text>
    </comment>
    <comment ref="B23" authorId="0">
      <text>
        <r>
          <rPr>
            <b/>
            <sz val="9"/>
            <color indexed="81"/>
            <rFont val="Tahoma"/>
            <charset val="1"/>
          </rPr>
          <t>Auteur:</t>
        </r>
        <r>
          <rPr>
            <sz val="9"/>
            <color indexed="81"/>
            <rFont val="Tahoma"/>
            <charset val="1"/>
          </rPr>
          <t xml:space="preserve">
Primary residences:
$0 – $120,000 = exempt from taxes
$120,001 – $700,000 = 0.5% tax rate
$700,000+ = 0.7% tax rate
Meaning… if your home is valued at $350,000, you’d pay 0.5% on $350,000 minus $120,000. That’s $1,150 in property taxes a year.
Secondary residences and commercial and industrial properties:
$0 – $30,000 = exempt from taxes
$30,001 – $250,000 = 0.6% tax rate
$250,001 – $500,000 = 0.8% tax rate
$500,000+ = 1.0% tax rate
https://www.panamaequity.com/the-real-estate-panama/2018-panama-property-tax-guidelines/
https://internationalliving.com/countries/panama/taxes/
https://www.panamaequity.com/the-real-estate-panama/tax/property-taxes-in-panama/
http://livinginpanama.com/panama-real-estate/property-taxes/
http://livinginpanama.com/panama-real-estate/panama-property-tax-reform-2017/</t>
        </r>
      </text>
    </comment>
    <comment ref="B24" authorId="0">
      <text>
        <r>
          <rPr>
            <b/>
            <sz val="9"/>
            <color indexed="81"/>
            <rFont val="Tahoma"/>
            <charset val="1"/>
          </rPr>
          <t>Auteur:</t>
        </r>
        <r>
          <rPr>
            <sz val="9"/>
            <color indexed="81"/>
            <rFont val="Tahoma"/>
            <charset val="1"/>
          </rPr>
          <t xml:space="preserve">
https://www.globalpropertyguide.com/Africa/Seychelles/Taxes-and-Costs
http://www.seychellesnewsagency.com/articles/7986/Seychelles+to+introduce+tax+on+foreign-owned+property+next+July</t>
        </r>
      </text>
    </comment>
    <comment ref="B25" authorId="0">
      <text>
        <r>
          <rPr>
            <b/>
            <sz val="9"/>
            <color indexed="81"/>
            <rFont val="Tahoma"/>
            <charset val="1"/>
          </rPr>
          <t>Auteur:</t>
        </r>
        <r>
          <rPr>
            <sz val="9"/>
            <color indexed="81"/>
            <rFont val="Tahoma"/>
            <charset val="1"/>
          </rPr>
          <t xml:space="preserve">
https://www.propertyguru.com.sg/blog/tag/property-tax-in-singapore-everything-you-need-to-k
https://www.iras.gov.sg/IRASHome/Property/Property-owners/Working-out-your-taxes/Property-Tax-Rates-and-Sample-Calculations/
Annual property tax is calculated by multiplying the Annual Value (AV) of the property with the Property Tax Rates that apply to you.
For example, if the AV of your property is $30,000 and your tax rate is 10%, you would pay $30,000 x 10% = $3,000.</t>
        </r>
      </text>
    </comment>
    <comment ref="B26" authorId="0">
      <text>
        <r>
          <rPr>
            <b/>
            <sz val="9"/>
            <color indexed="81"/>
            <rFont val="Tahoma"/>
            <charset val="1"/>
          </rPr>
          <t>Auteur:</t>
        </r>
        <r>
          <rPr>
            <sz val="9"/>
            <color indexed="81"/>
            <rFont val="Tahoma"/>
            <charset val="1"/>
          </rPr>
          <t xml:space="preserve">
Many municipalities and some cantons impose real property taxes on real estate located in Switzerland. The rates usually range from 0.05% to 0.3%, levied on the value of the property. The rates and the coefficient vary from canton to canton.
https://www.ch.ch/en/property-tax/
https://www.globalpropertyguide.com/Europe/Switzerland/Taxes-and-Costs</t>
        </r>
      </text>
    </comment>
    <comment ref="B27" authorId="0">
      <text>
        <r>
          <rPr>
            <b/>
            <sz val="9"/>
            <color indexed="81"/>
            <rFont val="Tahoma"/>
            <charset val="1"/>
          </rPr>
          <t>Auteur:</t>
        </r>
        <r>
          <rPr>
            <sz val="9"/>
            <color indexed="81"/>
            <rFont val="Tahoma"/>
            <charset val="1"/>
          </rPr>
          <t xml:space="preserve">
https://www.globalpropertyguide.com/Middle-East/United-Arab-Emirates/Taxes-and-Costs
https://www.propertyshowrooms.com/united-arab-emirates/property/tax.asp
https://www.mansionglobal.com/articles/is-it-true-there-are-no-property-taxes-for-dubai-homes-60352
http://dubai-taxes.com/en/uae-property-taxes
</t>
        </r>
      </text>
    </comment>
    <comment ref="B28" authorId="0">
      <text>
        <r>
          <rPr>
            <b/>
            <sz val="9"/>
            <color indexed="81"/>
            <rFont val="Tahoma"/>
            <charset val="1"/>
          </rPr>
          <t>Auteur:</t>
        </r>
        <r>
          <rPr>
            <sz val="9"/>
            <color indexed="81"/>
            <rFont val="Tahoma"/>
            <charset val="1"/>
          </rPr>
          <t xml:space="preserve">
https://www.nordeatrade.com/fi/explore-new-market/united-arab-emirates/taxes
http://rak-ibc.com/index.php/en/faq/106-taxation-of-real-estate-in-the-uae</t>
        </r>
      </text>
    </comment>
  </commentList>
</comments>
</file>

<file path=xl/comments4.xml><?xml version="1.0" encoding="utf-8"?>
<comments xmlns="http://schemas.openxmlformats.org/spreadsheetml/2006/main">
  <authors>
    <author>Auteur</author>
  </authors>
  <commentList>
    <comment ref="B2" authorId="0">
      <text>
        <r>
          <rPr>
            <b/>
            <sz val="9"/>
            <color indexed="81"/>
            <rFont val="Tahoma"/>
            <family val="2"/>
          </rPr>
          <t>Auteur:</t>
        </r>
        <r>
          <rPr>
            <sz val="9"/>
            <color indexed="81"/>
            <rFont val="Tahoma"/>
            <family val="2"/>
          </rPr>
          <t xml:space="preserve">
Permanent residency is technically impossible in Andorra.
All Andorran residence permits have an expiry date. Unlike countries part of the European Union where after residing for five uninterrupted years you can apply for permanent residency, Andorra simply doesn’t have an option for you to stay a resident indefinitely, without becoming an Andorran national.
You must always renew your residence permit according to the following schedule:
Active Residence
First permit: 1 year
Second Permit: 2 years
Third Permit: 2 years
Fourth Permit: 5 years
Fifth Permit and onwards: 10 years
Passive Residence
First permit: 2 years
Second Permit: 2 years
Third Permit: 3 years
Fourth Permit and onwards: 10 years
Andorran Citizenship
Since there are no permanent residency permits, the only way to live in Andorra indefinitely without having to renew it is applying for citizenship and holding an Andorran passport.
If you wish to apply for citizenship in Andorra, you must fulfill the following criteria:
Hold residency in Andorra for 20 years, either by active or passive residency; or
Complete your studies in Andorra’s school system and reside in the country for ten years.
Have a clean criminal record.
Renounce your current nationality (Andorra’s legislation does not allow double citizenship)
Once you’ve fulfilled this criteria, follow the procedures stated in the Ministry of Interior of Andorra. Keep in mind that  if you didn’t complete any study in Andorra, you will have to undergo a written test in Catalan about the country, and will need to complete a verbal interview in Catalan.
Permanent Residency in Andorra: Not a Simple Task
As you can see, there’s no permanent residency program available in Andorra, but you can apply for citizenship if you spend a total of 20 years in the country or 10 years if you completed your studies in Andorra.
If you wish to stay in this beautiful country for the rest of your life without worrying for permit renewals, you must take into account that you’ll have to renounce your current nationality and spend a long time in the country to be eligible for citizenship. It’s a true commitment to Andorra.</t>
        </r>
      </text>
    </comment>
    <comment ref="B3" authorId="0">
      <text>
        <r>
          <rPr>
            <b/>
            <sz val="9"/>
            <color indexed="81"/>
            <rFont val="Tahoma"/>
            <family val="2"/>
          </rPr>
          <t>Auteur:</t>
        </r>
        <r>
          <rPr>
            <sz val="9"/>
            <color indexed="81"/>
            <rFont val="Tahoma"/>
            <family val="2"/>
          </rPr>
          <t xml:space="preserve">
Applying for Permanent Residence 
Non-Bahamian nationals who are desirous of living and working in the Bahamas must seek authorization from the Department of Immigration to do so.  This comes in the form of a Residence Permit.  Permanent residence is a status issued to an individual for the duration of his/her life, unless revoked, and gives him/her the right to live and or work, but not the right to vote in The Bahamas.
Eligibility 
The following categories of persons may apply for permanent residence:
- Spouse of a Bahamian after 5 years of marriage, and whose marriage is subsisting and the couple cohabiting as husband and wife
- Persons born legitimately outside of The Bahamas to a married woman, who is a citizen of The Bahamas, and whose husband is not a citizen of The Bahamas.
- Financially independent individuals or investors who are legitimate owners of a residence in The Bahamas – please note that persons purchasing a residence for BS$1.5 million or more will get speedy consideration.
- Police and Prison Officers employed in the Government Service for a minimum of 10 years.
- Teachers employed in the Government Service or by charitable or religious institutions for a minimum of 10 years.
- Nurses employed in the Government Service or with private hospitals and healthcare facilities for a minimum of 10 years.
- Ministers of Religion / Priests after having been employed for a minimum of 20 years.
- Doctors / Medical professionals after having been employed for a minimum of 20 years.
- Haitian nationals who are able to provide documentary proof, exclusive of Haitian passports, that the department accepts as evidence under cover of an affidavit from a notary public, of their continuous residence in The Bahamas prior to January 1985.
- Persons who have held legal status (work or resident permit) for more than 20 consecutive years.
I. Permanent Residency
- Permanent residency allows a non-Bahamians to reside permanently in The Bahamas, pass freely through immigration and valid for lifetime.
- Investment requirements
Investment of USD 500,000 in a fully constructed residence (vacant land or a business will not suffice)
If investment is higher than USD 1,500,000 an “fast track” in processing time is applied
- Fees
Government fee: USD 10,000
Processing fee: USD 100.00
II. Annual Residency
- Annual Permit allows a non-Bahamian wishing to reside in The Bahamas to do so on an annual basis. According to the government policy, a non-Bahamian may enter The Bahamas as a visitor for an initial period of up to two months, and during this period the visitor may apply for residency.
- Fees
Government fee: USD 1,000 p.a.
Processing fee: USD 100 p.a.
III. Home Owner’s Card
Non-Bahamians who own second homes in The Bahamas may apply for an annual homeowner’s residence card. This card is renewable annually and intended to facilitate entry into The Bahamas with minimal formalities. The holder is entitled to visit The Bahamas for a stay of up to one year.
Fees
Government fee: USD 250.00 p.a.
Documents required
Immigration application form (notarized with USD 10 stamp)
Notarized copy of the Passport
Two passport-sized photographs with signature on reverse
Notarized copy of Birth Certificate (permanent residency only)
Notarized copy of Parent’s Birth Certificate (for minors) (permanent residency only)
Notarized copy of Marriage Certificate (for married couples) (permanent residency only)
Police Certificate covering five years residence
Medical Certificate with signature\stamp of the office
Two Character References from Attorney \ Accountant
Bank reference verifying economic worth (citing figure range)
Confirmation of whether applicant has a home in the Bahamas (copy of lease contract or deed)
Complete set of the applicant’s fingerprints
Please note the approval of Residency is in discretion of the Immigration Authorities.
Additional costs apply for dependents and family members and vary with the age of a person.
Please contact us for a detailed quote and our fees.
You can find more information on the official website of The Government of the Bahamas.</t>
        </r>
      </text>
    </comment>
    <comment ref="B4" authorId="0">
      <text>
        <r>
          <rPr>
            <b/>
            <sz val="9"/>
            <color indexed="81"/>
            <rFont val="Tahoma"/>
            <family val="2"/>
          </rPr>
          <t>Auteur:</t>
        </r>
        <r>
          <rPr>
            <sz val="9"/>
            <color indexed="81"/>
            <rFont val="Tahoma"/>
            <family val="2"/>
          </rPr>
          <t xml:space="preserve">
http://www.immigration.gov.bb/pages/Downloads.aspx
</t>
        </r>
      </text>
    </comment>
    <comment ref="B5" authorId="0">
      <text>
        <r>
          <rPr>
            <b/>
            <sz val="9"/>
            <color indexed="81"/>
            <rFont val="Tahoma"/>
            <family val="2"/>
          </rPr>
          <t>Auteur:</t>
        </r>
        <r>
          <rPr>
            <sz val="9"/>
            <color indexed="81"/>
            <rFont val="Tahoma"/>
            <family val="2"/>
          </rPr>
          <t xml:space="preserve">
https://belize.com/residency-and-citizenship-in-belize/</t>
        </r>
      </text>
    </comment>
    <comment ref="B6" authorId="0">
      <text>
        <r>
          <rPr>
            <b/>
            <sz val="9"/>
            <color indexed="81"/>
            <rFont val="Tahoma"/>
            <family val="2"/>
          </rPr>
          <t>Auteur:</t>
        </r>
        <r>
          <rPr>
            <sz val="9"/>
            <color indexed="81"/>
            <rFont val="Tahoma"/>
            <family val="2"/>
          </rPr>
          <t xml:space="preserve">
https://www.gov.bm/online-services/get-permanent-resident%E2%80%99s-certificate</t>
        </r>
      </text>
    </comment>
    <comment ref="B7" authorId="0">
      <text>
        <r>
          <rPr>
            <b/>
            <sz val="9"/>
            <color indexed="81"/>
            <rFont val="Tahoma"/>
            <family val="2"/>
          </rPr>
          <t>Auteur:</t>
        </r>
        <r>
          <rPr>
            <sz val="9"/>
            <color indexed="81"/>
            <rFont val="Tahoma"/>
            <family val="2"/>
          </rPr>
          <t xml:space="preserve">
http://www.bvi.gov.vg/content/acquiring-residence-status</t>
        </r>
      </text>
    </comment>
    <comment ref="B8" authorId="0">
      <text>
        <r>
          <rPr>
            <b/>
            <sz val="9"/>
            <color indexed="81"/>
            <rFont val="Tahoma"/>
            <family val="2"/>
          </rPr>
          <t>Auteur:</t>
        </r>
        <r>
          <rPr>
            <sz val="9"/>
            <color indexed="81"/>
            <rFont val="Tahoma"/>
            <family val="2"/>
          </rPr>
          <t xml:space="preserve">
http://www.immigration.gov.ky/portal/page/portal/immhome/livinghere/permanentresidence
</t>
        </r>
      </text>
    </comment>
    <comment ref="B9" authorId="0">
      <text>
        <r>
          <rPr>
            <b/>
            <sz val="9"/>
            <color indexed="81"/>
            <rFont val="Tahoma"/>
            <family val="2"/>
          </rPr>
          <t>Auteur:</t>
        </r>
        <r>
          <rPr>
            <sz val="9"/>
            <color indexed="81"/>
            <rFont val="Tahoma"/>
            <family val="2"/>
          </rPr>
          <t xml:space="preserve">
https://cypruspropertygallery.com/en/citizenship/how-to-get-permanent-residence-permit-cyprus</t>
        </r>
      </text>
    </comment>
    <comment ref="B10" authorId="0">
      <text>
        <r>
          <rPr>
            <b/>
            <sz val="9"/>
            <color indexed="81"/>
            <rFont val="Tahoma"/>
            <family val="2"/>
          </rPr>
          <t>Auteur:</t>
        </r>
        <r>
          <rPr>
            <sz val="9"/>
            <color indexed="81"/>
            <rFont val="Tahoma"/>
            <family val="2"/>
          </rPr>
          <t xml:space="preserve">
https://www.wikiprocedure.com/index.php/Egypt_-_Apply_for_Ordinary_Resident_Permit</t>
        </r>
      </text>
    </comment>
    <comment ref="B11" authorId="0">
      <text>
        <r>
          <rPr>
            <b/>
            <sz val="9"/>
            <color indexed="81"/>
            <rFont val="Tahoma"/>
            <family val="2"/>
          </rPr>
          <t>Auteur:</t>
        </r>
        <r>
          <rPr>
            <sz val="9"/>
            <color indexed="81"/>
            <rFont val="Tahoma"/>
            <family val="2"/>
          </rPr>
          <t xml:space="preserve">
https://www.gibraltar.gov.gi/new/visas-and-immigration</t>
        </r>
      </text>
    </comment>
    <comment ref="B12" authorId="0">
      <text>
        <r>
          <rPr>
            <b/>
            <sz val="9"/>
            <color indexed="81"/>
            <rFont val="Tahoma"/>
            <family val="2"/>
          </rPr>
          <t>Auteur:</t>
        </r>
        <r>
          <rPr>
            <sz val="9"/>
            <color indexed="81"/>
            <rFont val="Tahoma"/>
            <family val="2"/>
          </rPr>
          <t xml:space="preserve">
https://www.gov.gg/pmaboutpermits</t>
        </r>
      </text>
    </comment>
    <comment ref="B13" authorId="0">
      <text>
        <r>
          <rPr>
            <b/>
            <sz val="9"/>
            <color indexed="81"/>
            <rFont val="Tahoma"/>
            <family val="2"/>
          </rPr>
          <t>Auteur:</t>
        </r>
        <r>
          <rPr>
            <sz val="9"/>
            <color indexed="81"/>
            <rFont val="Tahoma"/>
            <family val="2"/>
          </rPr>
          <t xml:space="preserve">
https://www.immd.gov.hk/eng/services/roa/eligible.html</t>
        </r>
      </text>
    </comment>
    <comment ref="B14" authorId="0">
      <text>
        <r>
          <rPr>
            <b/>
            <sz val="9"/>
            <color indexed="81"/>
            <rFont val="Tahoma"/>
            <family val="2"/>
          </rPr>
          <t>Auteur:</t>
        </r>
        <r>
          <rPr>
            <sz val="9"/>
            <color indexed="81"/>
            <rFont val="Tahoma"/>
            <family val="2"/>
          </rPr>
          <t xml:space="preserve">
https://techlifeireland.com/moving-to-ireland/immigration-to-ireland/</t>
        </r>
      </text>
    </comment>
    <comment ref="B15" authorId="0">
      <text>
        <r>
          <rPr>
            <b/>
            <sz val="9"/>
            <color indexed="81"/>
            <rFont val="Tahoma"/>
            <family val="2"/>
          </rPr>
          <t>Auteur:</t>
        </r>
        <r>
          <rPr>
            <sz val="9"/>
            <color indexed="81"/>
            <rFont val="Tahoma"/>
            <family val="2"/>
          </rPr>
          <t xml:space="preserve">
https://www.gov.im/categories/travel-traffic-and-motoring/immigration/settle/</t>
        </r>
      </text>
    </comment>
    <comment ref="B16" authorId="0">
      <text>
        <r>
          <rPr>
            <b/>
            <sz val="9"/>
            <color indexed="81"/>
            <rFont val="Tahoma"/>
            <family val="2"/>
          </rPr>
          <t>Auteur:</t>
        </r>
        <r>
          <rPr>
            <sz val="9"/>
            <color indexed="81"/>
            <rFont val="Tahoma"/>
            <family val="2"/>
          </rPr>
          <t xml:space="preserve">
https://www.gov.je/LifeEvents/CitizenshipSettlingInJersey/SettlementInJersey/Pages/SettlementInJersey.aspx</t>
        </r>
      </text>
    </comment>
    <comment ref="B17" authorId="0">
      <text>
        <r>
          <rPr>
            <b/>
            <sz val="9"/>
            <color indexed="81"/>
            <rFont val="Tahoma"/>
            <family val="2"/>
          </rPr>
          <t>Auteur:</t>
        </r>
        <r>
          <rPr>
            <sz val="9"/>
            <color indexed="81"/>
            <rFont val="Tahoma"/>
            <family val="2"/>
          </rPr>
          <t xml:space="preserve">
http://www.lawyersliechtenstein.com/obtain-residence-permit-in-liechtenstein</t>
        </r>
      </text>
    </comment>
    <comment ref="B18" authorId="0">
      <text>
        <r>
          <rPr>
            <b/>
            <sz val="9"/>
            <color indexed="81"/>
            <rFont val="Tahoma"/>
            <family val="2"/>
          </rPr>
          <t>Auteur:</t>
        </r>
        <r>
          <rPr>
            <sz val="9"/>
            <color indexed="81"/>
            <rFont val="Tahoma"/>
            <family val="2"/>
          </rPr>
          <t xml:space="preserve">
http://www.takoplius.com/business-law/permanent-residence-permit-in-lithuania/</t>
        </r>
      </text>
    </comment>
    <comment ref="B19" authorId="0">
      <text>
        <r>
          <rPr>
            <b/>
            <sz val="9"/>
            <color indexed="81"/>
            <rFont val="Tahoma"/>
            <family val="2"/>
          </rPr>
          <t>Auteur:</t>
        </r>
        <r>
          <rPr>
            <sz val="9"/>
            <color indexed="81"/>
            <rFont val="Tahoma"/>
            <family val="2"/>
          </rPr>
          <t xml:space="preserve">
http://luxembourg.public.lu/en/vivre/citoyennete/immigrer-au-luxembourg/autorisation-sejour/index.html</t>
        </r>
      </text>
    </comment>
    <comment ref="B20" authorId="0">
      <text>
        <r>
          <rPr>
            <b/>
            <sz val="9"/>
            <color indexed="81"/>
            <rFont val="Tahoma"/>
            <family val="2"/>
          </rPr>
          <t>Auteur:</t>
        </r>
        <r>
          <rPr>
            <sz val="9"/>
            <color indexed="81"/>
            <rFont val="Tahoma"/>
            <family val="2"/>
          </rPr>
          <t xml:space="preserve">
https://www.gov.mt/en/Life%20Events/Moving-to-Malta/Pages/Moving-to-Malta.aspx</t>
        </r>
      </text>
    </comment>
    <comment ref="B21" authorId="0">
      <text>
        <r>
          <rPr>
            <b/>
            <sz val="9"/>
            <color indexed="81"/>
            <rFont val="Tahoma"/>
            <family val="2"/>
          </rPr>
          <t>Auteur:</t>
        </r>
        <r>
          <rPr>
            <sz val="9"/>
            <color indexed="81"/>
            <rFont val="Tahoma"/>
            <family val="2"/>
          </rPr>
          <t xml:space="preserve">
Buy a house with a price of $500 000.</t>
        </r>
      </text>
    </comment>
    <comment ref="B22" authorId="0">
      <text>
        <r>
          <rPr>
            <b/>
            <sz val="9"/>
            <color indexed="81"/>
            <rFont val="Tahoma"/>
            <family val="2"/>
          </rPr>
          <t>Auteur:</t>
        </r>
        <r>
          <rPr>
            <sz val="9"/>
            <color indexed="81"/>
            <rFont val="Tahoma"/>
            <family val="2"/>
          </rPr>
          <t xml:space="preserve">
https://ind.nl/en/eu-eea/Pages/Permanent-residence-for-EU-citizens.aspx</t>
        </r>
      </text>
    </comment>
    <comment ref="B23" authorId="0">
      <text>
        <r>
          <rPr>
            <b/>
            <sz val="9"/>
            <color indexed="81"/>
            <rFont val="Tahoma"/>
            <family val="2"/>
          </rPr>
          <t>Auteur:</t>
        </r>
        <r>
          <rPr>
            <sz val="9"/>
            <color indexed="81"/>
            <rFont val="Tahoma"/>
            <family val="2"/>
          </rPr>
          <t xml:space="preserve">
http://www.panama-offshore-services.com/how_to_obtain_permanent_residency_in_panama.htm</t>
        </r>
      </text>
    </comment>
    <comment ref="B24" authorId="0">
      <text>
        <r>
          <rPr>
            <b/>
            <sz val="9"/>
            <color indexed="81"/>
            <rFont val="Tahoma"/>
            <family val="2"/>
          </rPr>
          <t>Auteur:</t>
        </r>
        <r>
          <rPr>
            <sz val="9"/>
            <color indexed="81"/>
            <rFont val="Tahoma"/>
            <family val="2"/>
          </rPr>
          <t xml:space="preserve">
http://www.ics.gov.sc/residence-permit</t>
        </r>
      </text>
    </comment>
    <comment ref="B25" authorId="0">
      <text>
        <r>
          <rPr>
            <b/>
            <sz val="9"/>
            <color indexed="81"/>
            <rFont val="Tahoma"/>
            <family val="2"/>
          </rPr>
          <t>Auteur:</t>
        </r>
        <r>
          <rPr>
            <sz val="9"/>
            <color indexed="81"/>
            <rFont val="Tahoma"/>
            <family val="2"/>
          </rPr>
          <t xml:space="preserve">
https://www.mfa.gov.sg/content/mfa/overseasmission/doha/consular_services/pr_application.html</t>
        </r>
      </text>
    </comment>
    <comment ref="B26" authorId="0">
      <text>
        <r>
          <rPr>
            <b/>
            <sz val="9"/>
            <color indexed="81"/>
            <rFont val="Tahoma"/>
            <family val="2"/>
          </rPr>
          <t>Auteur:</t>
        </r>
        <r>
          <rPr>
            <sz val="9"/>
            <color indexed="81"/>
            <rFont val="Tahoma"/>
            <family val="2"/>
          </rPr>
          <t xml:space="preserve">
https://www.ch.ch/en/renewal-overview-swiss-residence-permit/</t>
        </r>
      </text>
    </comment>
    <comment ref="B27" authorId="0">
      <text>
        <r>
          <rPr>
            <b/>
            <sz val="9"/>
            <color indexed="81"/>
            <rFont val="Tahoma"/>
            <family val="2"/>
          </rPr>
          <t>Auteur:</t>
        </r>
        <r>
          <rPr>
            <sz val="9"/>
            <color indexed="81"/>
            <rFont val="Tahoma"/>
            <family val="2"/>
          </rPr>
          <t xml:space="preserve">
https://www.companyincorporationdubai.com/obtaining-dubai-residency</t>
        </r>
      </text>
    </comment>
    <comment ref="B28" authorId="0">
      <text>
        <r>
          <rPr>
            <b/>
            <sz val="9"/>
            <color indexed="81"/>
            <rFont val="Tahoma"/>
            <family val="2"/>
          </rPr>
          <t>Auteur:</t>
        </r>
        <r>
          <rPr>
            <sz val="9"/>
            <color indexed="81"/>
            <rFont val="Tahoma"/>
            <family val="2"/>
          </rPr>
          <t xml:space="preserve">
https://www.rak.ae/wps/portal/rak/home/residents/visa</t>
        </r>
      </text>
    </comment>
  </commentList>
</comments>
</file>

<file path=xl/comments5.xml><?xml version="1.0" encoding="utf-8"?>
<comments xmlns="http://schemas.openxmlformats.org/spreadsheetml/2006/main">
  <authors>
    <author>Auteur</author>
  </authors>
  <commentList>
    <comment ref="B2" authorId="0">
      <text>
        <r>
          <rPr>
            <b/>
            <sz val="9"/>
            <color indexed="81"/>
            <rFont val="Tahoma"/>
            <charset val="1"/>
          </rPr>
          <t>Auteur:</t>
        </r>
        <r>
          <rPr>
            <sz val="9"/>
            <color indexed="81"/>
            <rFont val="Tahoma"/>
            <charset val="1"/>
          </rPr>
          <t xml:space="preserve">
https://wikiprocedure.com/index.php/Andorra_-_Apply_for_Driving_License
</t>
        </r>
      </text>
    </comment>
    <comment ref="B3" authorId="0">
      <text>
        <r>
          <rPr>
            <b/>
            <sz val="9"/>
            <color indexed="81"/>
            <rFont val="Tahoma"/>
            <charset val="1"/>
          </rPr>
          <t>Auteur:</t>
        </r>
        <r>
          <rPr>
            <sz val="9"/>
            <color indexed="81"/>
            <rFont val="Tahoma"/>
            <charset val="1"/>
          </rPr>
          <t xml:space="preserve">
https://www.wikiprocedure.com/index.php/Bahamas_-_Apply_for_Driver_License</t>
        </r>
      </text>
    </comment>
    <comment ref="B4" authorId="0">
      <text>
        <r>
          <rPr>
            <b/>
            <sz val="9"/>
            <color indexed="81"/>
            <rFont val="Tahoma"/>
            <charset val="1"/>
          </rPr>
          <t>Auteur:</t>
        </r>
        <r>
          <rPr>
            <sz val="9"/>
            <color indexed="81"/>
            <rFont val="Tahoma"/>
            <charset val="1"/>
          </rPr>
          <t xml:space="preserve">
https://www.wikiprocedure.com/index.php/Barbados_-_Apply_for_Learner_Driver_License</t>
        </r>
      </text>
    </comment>
    <comment ref="B5" authorId="0">
      <text>
        <r>
          <rPr>
            <b/>
            <sz val="9"/>
            <color indexed="81"/>
            <rFont val="Tahoma"/>
            <charset val="1"/>
          </rPr>
          <t>Auteur:</t>
        </r>
        <r>
          <rPr>
            <sz val="9"/>
            <color indexed="81"/>
            <rFont val="Tahoma"/>
            <charset val="1"/>
          </rPr>
          <t xml:space="preserve">
http://www.expat.com/en/guide/central-america/belize/10014-driving-in-belize.html
https://wikiprocedure.com/index.php/Belize_-_Apply_for_Driver_License</t>
        </r>
      </text>
    </comment>
    <comment ref="B6" authorId="0">
      <text>
        <r>
          <rPr>
            <b/>
            <sz val="9"/>
            <color indexed="81"/>
            <rFont val="Tahoma"/>
            <charset val="1"/>
          </rPr>
          <t>Auteur:</t>
        </r>
        <r>
          <rPr>
            <sz val="9"/>
            <color indexed="81"/>
            <rFont val="Tahoma"/>
            <charset val="1"/>
          </rPr>
          <t xml:space="preserve">
https://www.gov.bm/how-get-drivers-licence
https://www.gov.bm/online-services/apply-drivers-licence</t>
        </r>
      </text>
    </comment>
    <comment ref="B7" authorId="0">
      <text>
        <r>
          <rPr>
            <b/>
            <sz val="9"/>
            <color indexed="81"/>
            <rFont val="Tahoma"/>
            <charset val="1"/>
          </rPr>
          <t>Auteur:</t>
        </r>
        <r>
          <rPr>
            <sz val="9"/>
            <color indexed="81"/>
            <rFont val="Tahoma"/>
            <charset val="1"/>
          </rPr>
          <t xml:space="preserve">
http://www.bvi.gov.vg/content/written-test
http://www.expat.com/en/guide/central-america/british-virgin-islands/11_driver-s-licence.html</t>
        </r>
      </text>
    </comment>
    <comment ref="B8" authorId="0">
      <text>
        <r>
          <rPr>
            <b/>
            <sz val="9"/>
            <color indexed="81"/>
            <rFont val="Tahoma"/>
            <charset val="1"/>
          </rPr>
          <t>Auteur:</t>
        </r>
        <r>
          <rPr>
            <sz val="9"/>
            <color indexed="81"/>
            <rFont val="Tahoma"/>
            <charset val="1"/>
          </rPr>
          <t xml:space="preserve">
https://caymanresident.com/live/transport/driving-licences/getting-your-drivers-licence/
http://www.dvdl.gov.ky/portal/page/portal/vlthome/drivers/driverslicence/provisionallicence</t>
        </r>
      </text>
    </comment>
    <comment ref="B9" authorId="0">
      <text>
        <r>
          <rPr>
            <b/>
            <sz val="9"/>
            <color indexed="81"/>
            <rFont val="Tahoma"/>
            <charset val="1"/>
          </rPr>
          <t>Auteur:</t>
        </r>
        <r>
          <rPr>
            <sz val="9"/>
            <color indexed="81"/>
            <rFont val="Tahoma"/>
            <charset val="1"/>
          </rPr>
          <t xml:space="preserve">
https://en.wikipedia.org/wiki/Driving_licence_in_Cyprus
http://www.cyprus.gov.cy/portal/portal.nsf/gwp.getGroup?OpenForm&amp;SectionId=noneu&amp;CategoryId=Vehicles%20and%20Boats&amp;SelectionId=Driving%20licences&amp;print=0&amp;lang=en
https://europa.eu/youreurope/citizens/vehicles/driving-licence/get-driving-licence/cyprus/index_en.htm</t>
        </r>
      </text>
    </comment>
    <comment ref="B10" authorId="0">
      <text>
        <r>
          <rPr>
            <b/>
            <sz val="9"/>
            <color indexed="81"/>
            <rFont val="Tahoma"/>
            <charset val="1"/>
          </rPr>
          <t>Auteur:</t>
        </r>
        <r>
          <rPr>
            <sz val="9"/>
            <color indexed="81"/>
            <rFont val="Tahoma"/>
            <charset val="1"/>
          </rPr>
          <t xml:space="preserve">
https://wikiprocedure.com/index.php/Egypt_-_Obtain_an_Egyptian_Drivers_License
http://www.expat.com/en/guide/africa/egypt/14281-driving-in-egypt.html</t>
        </r>
      </text>
    </comment>
    <comment ref="B11" authorId="0">
      <text>
        <r>
          <rPr>
            <b/>
            <sz val="9"/>
            <color indexed="81"/>
            <rFont val="Tahoma"/>
            <charset val="1"/>
          </rPr>
          <t>Auteur:</t>
        </r>
        <r>
          <rPr>
            <sz val="9"/>
            <color indexed="81"/>
            <rFont val="Tahoma"/>
            <charset val="1"/>
          </rPr>
          <t xml:space="preserve">
https://www.wikiprocedure.com/index.php/Gibraltar_-_Apply_for_Driver_License
https://www.gibraltar.gov.gi/new/driving-licences
</t>
        </r>
      </text>
    </comment>
    <comment ref="B12" authorId="0">
      <text>
        <r>
          <rPr>
            <b/>
            <sz val="9"/>
            <color indexed="81"/>
            <rFont val="Tahoma"/>
            <charset val="1"/>
          </rPr>
          <t>Auteur:</t>
        </r>
        <r>
          <rPr>
            <sz val="9"/>
            <color indexed="81"/>
            <rFont val="Tahoma"/>
            <charset val="1"/>
          </rPr>
          <t xml:space="preserve">
https://www.gov.gg/drivinglicence</t>
        </r>
      </text>
    </comment>
    <comment ref="B13" authorId="0">
      <text>
        <r>
          <rPr>
            <b/>
            <sz val="9"/>
            <color indexed="81"/>
            <rFont val="Tahoma"/>
            <charset val="1"/>
          </rPr>
          <t>Auteur:</t>
        </r>
        <r>
          <rPr>
            <sz val="9"/>
            <color indexed="81"/>
            <rFont val="Tahoma"/>
            <charset val="1"/>
          </rPr>
          <t xml:space="preserve">
https://www.gov.hk/en/residents/transport/drivinglicense/becomeadriver.htm
https://www.td.gov.hk/en/public_services/licences_and_permits/driving_licences/how_to_apply_for_a_driving_licence/index.html</t>
        </r>
      </text>
    </comment>
    <comment ref="B14" authorId="0">
      <text>
        <r>
          <rPr>
            <b/>
            <sz val="9"/>
            <color indexed="81"/>
            <rFont val="Tahoma"/>
            <charset val="1"/>
          </rPr>
          <t>Auteur:</t>
        </r>
        <r>
          <rPr>
            <sz val="9"/>
            <color indexed="81"/>
            <rFont val="Tahoma"/>
            <charset val="1"/>
          </rPr>
          <t xml:space="preserve">
https://europa.eu/youreurope/citizens/vehicles/driving-licence/get-driving-licence/ireland/index_en.htm
http://www.citizensinformation.ie/en/travel_and_recreation/motoring_1/driver_licensing/exchanging_foreign_driving_permit.html</t>
        </r>
      </text>
    </comment>
    <comment ref="B15" authorId="0">
      <text>
        <r>
          <rPr>
            <b/>
            <sz val="9"/>
            <color indexed="81"/>
            <rFont val="Tahoma"/>
            <charset val="1"/>
          </rPr>
          <t>Auteur:</t>
        </r>
        <r>
          <rPr>
            <sz val="9"/>
            <color indexed="81"/>
            <rFont val="Tahoma"/>
            <charset val="1"/>
          </rPr>
          <t xml:space="preserve">
https://www.gov.im/driving-licences
https://www.wikiprocedure.com/index.php/Isle_Of_Man_-_Obtain_a_Drivers_License</t>
        </r>
      </text>
    </comment>
    <comment ref="B16" authorId="0">
      <text>
        <r>
          <rPr>
            <b/>
            <sz val="9"/>
            <color indexed="81"/>
            <rFont val="Tahoma"/>
            <charset val="1"/>
          </rPr>
          <t>Auteur:</t>
        </r>
        <r>
          <rPr>
            <sz val="9"/>
            <color indexed="81"/>
            <rFont val="Tahoma"/>
            <charset val="1"/>
          </rPr>
          <t xml:space="preserve">
https://www.dmv.org/nj-new-jersey/apply-license.php
https://www.state.nj.us/mvc/license/initiallicense.htm</t>
        </r>
      </text>
    </comment>
    <comment ref="B17" authorId="0">
      <text>
        <r>
          <rPr>
            <b/>
            <sz val="9"/>
            <color indexed="81"/>
            <rFont val="Tahoma"/>
            <charset val="1"/>
          </rPr>
          <t>Auteur:</t>
        </r>
        <r>
          <rPr>
            <sz val="9"/>
            <color indexed="81"/>
            <rFont val="Tahoma"/>
            <charset val="1"/>
          </rPr>
          <t xml:space="preserve">
https://europa.eu/youreurope/citizens/vehicles/driving-licence/get-driving-licence/liechtenstein/index_en.htm
</t>
        </r>
      </text>
    </comment>
    <comment ref="B18" authorId="0">
      <text>
        <r>
          <rPr>
            <b/>
            <sz val="9"/>
            <color indexed="81"/>
            <rFont val="Tahoma"/>
            <charset val="1"/>
          </rPr>
          <t>Auteur:</t>
        </r>
        <r>
          <rPr>
            <sz val="9"/>
            <color indexed="81"/>
            <rFont val="Tahoma"/>
            <charset val="1"/>
          </rPr>
          <t xml:space="preserve">
https://europa.eu/youreurope/citizens/vehicles/driving-licence/get-driving-licence/lithuania/index_en.htm
http://www.expat.com/en/guide/europe/lithuania/289-driving-in-lithuania.html</t>
        </r>
      </text>
    </comment>
    <comment ref="B19" authorId="0">
      <text>
        <r>
          <rPr>
            <b/>
            <sz val="9"/>
            <color indexed="81"/>
            <rFont val="Tahoma"/>
            <charset val="1"/>
          </rPr>
          <t>Auteur:</t>
        </r>
        <r>
          <rPr>
            <sz val="9"/>
            <color indexed="81"/>
            <rFont val="Tahoma"/>
            <charset val="1"/>
          </rPr>
          <t xml:space="preserve">
http://luxembourg.public.lu/en/se-deplacer-au-luxembourg/en-voiture/permis-conduire/index.html
</t>
        </r>
      </text>
    </comment>
    <comment ref="B20" authorId="0">
      <text>
        <r>
          <rPr>
            <b/>
            <sz val="9"/>
            <color indexed="81"/>
            <rFont val="Tahoma"/>
            <charset val="1"/>
          </rPr>
          <t>Auteur:</t>
        </r>
        <r>
          <rPr>
            <sz val="9"/>
            <color indexed="81"/>
            <rFont val="Tahoma"/>
            <charset val="1"/>
          </rPr>
          <t xml:space="preserve">
https://www.gov.mt/en/Life%20Events/Getting%20a%20Driving%20Licence/Pages/Getting-a-Driving-Licence-in-Malta.aspx
http://www.expat.com/en/guide/europe/malta/13283-driving-in-malta.html
http://www.transport.gov.mt/land-transport/driving/obtaining-your-driving-licence</t>
        </r>
      </text>
    </comment>
    <comment ref="B21" authorId="0">
      <text>
        <r>
          <rPr>
            <b/>
            <sz val="9"/>
            <color indexed="81"/>
            <rFont val="Tahoma"/>
            <charset val="1"/>
          </rPr>
          <t>Auteur:</t>
        </r>
        <r>
          <rPr>
            <sz val="9"/>
            <color indexed="81"/>
            <rFont val="Tahoma"/>
            <charset val="1"/>
          </rPr>
          <t xml:space="preserve">
http://police.govmu.org/English/Pages/App_driving_licence.aspx
http://www.expat.com/en/guide/africa/mauritius/17733-driver-s-licence-in-mauritius.html
https://www.wikiprocedure.com/index.php/Mauritius_-_Learner_Driver_License</t>
        </r>
      </text>
    </comment>
    <comment ref="B22" authorId="0">
      <text>
        <r>
          <rPr>
            <b/>
            <sz val="9"/>
            <color indexed="81"/>
            <rFont val="Tahoma"/>
            <charset val="1"/>
          </rPr>
          <t>Auteur:</t>
        </r>
        <r>
          <rPr>
            <sz val="9"/>
            <color indexed="81"/>
            <rFont val="Tahoma"/>
            <charset val="1"/>
          </rPr>
          <t xml:space="preserve">
https://www.rug.nl/education/international-students/living-in-the-netherlands/drivers-licence
https://en.wikipedia.org/wiki/Driving_licence_in_the_Netherlands
https://www.iamexpat.nl/expat-info/official-issues/driving-licence-netherlands</t>
        </r>
      </text>
    </comment>
    <comment ref="B23" authorId="0">
      <text>
        <r>
          <rPr>
            <b/>
            <sz val="9"/>
            <color indexed="81"/>
            <rFont val="Tahoma"/>
            <charset val="1"/>
          </rPr>
          <t>Auteur:</t>
        </r>
        <r>
          <rPr>
            <sz val="9"/>
            <color indexed="81"/>
            <rFont val="Tahoma"/>
            <charset val="1"/>
          </rPr>
          <t xml:space="preserve">
http://www.panama-offshore-services.com/how_to_get_a_panama_drivers_license.htm
https://pa.usembassy.gov/u-s-citizen-services/local-resources-of-u-s-citizens/obtaining-panama-drivers-license/
</t>
        </r>
      </text>
    </comment>
    <comment ref="B24" authorId="0">
      <text>
        <r>
          <rPr>
            <b/>
            <sz val="9"/>
            <color indexed="81"/>
            <rFont val="Tahoma"/>
            <charset val="1"/>
          </rPr>
          <t>Auteur:</t>
        </r>
        <r>
          <rPr>
            <sz val="9"/>
            <color indexed="81"/>
            <rFont val="Tahoma"/>
            <charset val="1"/>
          </rPr>
          <t xml:space="preserve">
http://www.egov.sc/MyCitizen/DrivingLicense.aspx
http://www.expat.com/en/guide/africa/seychelles/11_driver-s-licence.html</t>
        </r>
      </text>
    </comment>
    <comment ref="B25" authorId="0">
      <text>
        <r>
          <rPr>
            <b/>
            <sz val="9"/>
            <color indexed="81"/>
            <rFont val="Tahoma"/>
            <charset val="1"/>
          </rPr>
          <t>Auteur:</t>
        </r>
        <r>
          <rPr>
            <sz val="9"/>
            <color indexed="81"/>
            <rFont val="Tahoma"/>
            <charset val="1"/>
          </rPr>
          <t xml:space="preserve">
https://www.ecitizen.gov.sg/Driving-in-Singapore-How-to-convert-a-foreign-driving-licence.html
http://www.livinginsingapore.org/getting-a-drivers-license-in-singapore/
https://www.police.gov.sg/resources/traffic-matters/getting-a-licence</t>
        </r>
      </text>
    </comment>
    <comment ref="B26" authorId="0">
      <text>
        <r>
          <rPr>
            <b/>
            <sz val="9"/>
            <color indexed="81"/>
            <rFont val="Tahoma"/>
            <charset val="1"/>
          </rPr>
          <t>Auteur:</t>
        </r>
        <r>
          <rPr>
            <sz val="9"/>
            <color indexed="81"/>
            <rFont val="Tahoma"/>
            <charset val="1"/>
          </rPr>
          <t xml:space="preserve">
https://www.ch.ch/en/driving-licence/
</t>
        </r>
      </text>
    </comment>
    <comment ref="B27" authorId="0">
      <text>
        <r>
          <rPr>
            <b/>
            <sz val="9"/>
            <color indexed="81"/>
            <rFont val="Tahoma"/>
            <charset val="1"/>
          </rPr>
          <t>Auteur:</t>
        </r>
        <r>
          <rPr>
            <sz val="9"/>
            <color indexed="81"/>
            <rFont val="Tahoma"/>
            <charset val="1"/>
          </rPr>
          <t xml:space="preserve">
https://expatconnect.com/blog/posts/drivers-license-in-dubai
http://www.dubai.ae/en/Lists/HowToGuide/DispForm.aspx?ID=3
https://www.edarabia.com/how-get-driving-license-dubai/</t>
        </r>
      </text>
    </comment>
    <comment ref="B28" authorId="0">
      <text>
        <r>
          <rPr>
            <b/>
            <sz val="9"/>
            <color indexed="81"/>
            <rFont val="Tahoma"/>
            <charset val="1"/>
          </rPr>
          <t>Auteur:</t>
        </r>
        <r>
          <rPr>
            <sz val="9"/>
            <color indexed="81"/>
            <rFont val="Tahoma"/>
            <charset val="1"/>
          </rPr>
          <t xml:space="preserve">
https://drivinglicenserak.blogspot.com/</t>
        </r>
      </text>
    </comment>
  </commentList>
</comments>
</file>

<file path=xl/comments6.xml><?xml version="1.0" encoding="utf-8"?>
<comments xmlns="http://schemas.openxmlformats.org/spreadsheetml/2006/main">
  <authors>
    <author>Auteur</author>
  </authors>
  <commentList>
    <comment ref="B9" authorId="0">
      <text>
        <r>
          <rPr>
            <b/>
            <sz val="9"/>
            <color indexed="81"/>
            <rFont val="Tahoma"/>
            <charset val="1"/>
          </rPr>
          <t>Auteur:</t>
        </r>
        <r>
          <rPr>
            <sz val="9"/>
            <color indexed="81"/>
            <rFont val="Tahoma"/>
            <charset val="1"/>
          </rPr>
          <t xml:space="preserve">
20% (only on immovable property situated in Cyprus)</t>
        </r>
      </text>
    </comment>
    <comment ref="B10" authorId="0">
      <text>
        <r>
          <rPr>
            <b/>
            <sz val="9"/>
            <color indexed="81"/>
            <rFont val="Tahoma"/>
            <charset val="1"/>
          </rPr>
          <t>Auteur:</t>
        </r>
        <r>
          <rPr>
            <sz val="9"/>
            <color indexed="81"/>
            <rFont val="Tahoma"/>
            <charset val="1"/>
          </rPr>
          <t xml:space="preserve">
10% on capital gains on securities registered at the Egyptian Stock Exchange that are sourced in Egypt.
Standard corporate tax rate on capital gains on securities not registered with the Egyptian Stock Exchange that are sourced in Egypt, capital gains on securities realized abroad and capital gains on shares.</t>
        </r>
      </text>
    </comment>
    <comment ref="B14" authorId="0">
      <text>
        <r>
          <rPr>
            <b/>
            <sz val="9"/>
            <color indexed="81"/>
            <rFont val="Tahoma"/>
            <charset val="1"/>
          </rPr>
          <t>Auteur:</t>
        </r>
        <r>
          <rPr>
            <sz val="9"/>
            <color indexed="81"/>
            <rFont val="Tahoma"/>
            <charset val="1"/>
          </rPr>
          <t xml:space="preserve">
30% or 0% if participation exemption applies
</t>
        </r>
      </text>
    </comment>
    <comment ref="B17" authorId="0">
      <text>
        <r>
          <rPr>
            <b/>
            <sz val="9"/>
            <color indexed="81"/>
            <rFont val="Tahoma"/>
            <charset val="1"/>
          </rPr>
          <t>Auteur:</t>
        </r>
        <r>
          <rPr>
            <sz val="9"/>
            <color indexed="81"/>
            <rFont val="Tahoma"/>
            <charset val="1"/>
          </rPr>
          <t xml:space="preserve">
12.5% except for domestic real estate (2% - 14% depending on the amount of the gain)
Taxable except for gains on the disposal of shares in domestic or foreign participations and foreign real estate</t>
        </r>
      </text>
    </comment>
    <comment ref="B19" authorId="0">
      <text>
        <r>
          <rPr>
            <b/>
            <sz val="9"/>
            <color indexed="81"/>
            <rFont val="Tahoma"/>
            <charset val="1"/>
          </rPr>
          <t>Auteur:</t>
        </r>
        <r>
          <rPr>
            <sz val="9"/>
            <color indexed="81"/>
            <rFont val="Tahoma"/>
            <charset val="1"/>
          </rPr>
          <t xml:space="preserve">
0% on disposal of shares in qualifying participations, otherwise effective 28.15% or 29.22%</t>
        </r>
      </text>
    </comment>
    <comment ref="B20" authorId="0">
      <text>
        <r>
          <rPr>
            <b/>
            <sz val="9"/>
            <color indexed="81"/>
            <rFont val="Tahoma"/>
            <charset val="1"/>
          </rPr>
          <t>Auteur:</t>
        </r>
        <r>
          <rPr>
            <sz val="9"/>
            <color indexed="81"/>
            <rFont val="Tahoma"/>
            <charset val="1"/>
          </rPr>
          <t xml:space="preserve">
0% for participation holdings or effectively 0% - 5%</t>
        </r>
      </text>
    </comment>
    <comment ref="B22" authorId="0">
      <text>
        <r>
          <rPr>
            <b/>
            <sz val="9"/>
            <color indexed="81"/>
            <rFont val="Tahoma"/>
            <family val="2"/>
          </rPr>
          <t>Auteur:</t>
        </r>
        <r>
          <rPr>
            <sz val="9"/>
            <color indexed="81"/>
            <rFont val="Tahoma"/>
            <charset val="1"/>
          </rPr>
          <t xml:space="preserve">
Capital Gains Tax Rate(s)
- Gains on disposal of qualifying participations are exempt
- Other gains at 20% or 25%</t>
        </r>
      </text>
    </comment>
    <comment ref="B23" authorId="0">
      <text>
        <r>
          <rPr>
            <b/>
            <sz val="9"/>
            <color indexed="81"/>
            <rFont val="Tahoma"/>
            <family val="2"/>
          </rPr>
          <t>Auteur:</t>
        </r>
        <r>
          <rPr>
            <sz val="9"/>
            <color indexed="81"/>
            <rFont val="Tahoma"/>
            <charset val="1"/>
          </rPr>
          <t xml:space="preserve">
10% plus 3% withholding tax (5% withholding tax for securities)</t>
        </r>
      </text>
    </comment>
  </commentList>
</comments>
</file>

<file path=xl/comments7.xml><?xml version="1.0" encoding="utf-8"?>
<comments xmlns="http://schemas.openxmlformats.org/spreadsheetml/2006/main">
  <authors>
    <author>Auteur</author>
  </authors>
  <commentList>
    <comment ref="B3" authorId="0">
      <text>
        <r>
          <rPr>
            <b/>
            <sz val="9"/>
            <color indexed="81"/>
            <rFont val="Tahoma"/>
            <family val="2"/>
          </rPr>
          <t>Auteur:</t>
        </r>
        <r>
          <rPr>
            <sz val="9"/>
            <color indexed="81"/>
            <rFont val="Tahoma"/>
            <family val="2"/>
          </rPr>
          <t xml:space="preserve">
www.mailnetwork.com
</t>
        </r>
      </text>
    </comment>
    <comment ref="C3" authorId="0">
      <text>
        <r>
          <rPr>
            <b/>
            <sz val="9"/>
            <color indexed="81"/>
            <rFont val="Tahoma"/>
            <family val="2"/>
          </rPr>
          <t>Auteur:</t>
        </r>
        <r>
          <rPr>
            <sz val="9"/>
            <color indexed="81"/>
            <rFont val="Tahoma"/>
            <family val="2"/>
          </rPr>
          <t xml:space="preserve">
Benefit from a Mailing Address - Mailbox: A real street address (not simply a P.O. Box) with a mail forwarding services:
Nassau, Bahamas
Select this location: Rates (by period rental) 
6 months: $440
12 months: $795
Receive letters and parcels from national postal services and courier companies such as FedEx, U.P.S. and D.H.L.
You will be able to receive mail under 3 different names, including personal or business name.
Have your mail forwarded (letters &amp; parcels up to 99 pounds) by FedEx or Air Mail anywhere in the world,
according to the frequency you choose.
Remailing Service available from this location.
Use our online CUSTOMER INFO CENTER to get up-to-date mail forwarding status from your mailing address.
Our total Security &amp; Confidentiality guarantee ensure your peace of mind.
Get your mailing address within one working day!
Allocation of an account manager to answer any request within a minimum delay.
Site: https://mailnetwork.com/cities/nassau-newprovidence-bhs-bahamas/</t>
        </r>
      </text>
    </comment>
    <comment ref="C4" authorId="0">
      <text>
        <r>
          <rPr>
            <b/>
            <sz val="9"/>
            <color indexed="81"/>
            <rFont val="Tahoma"/>
            <family val="2"/>
          </rPr>
          <t>Auteur:</t>
        </r>
        <r>
          <rPr>
            <sz val="9"/>
            <color indexed="81"/>
            <rFont val="Tahoma"/>
            <family val="2"/>
          </rPr>
          <t xml:space="preserve">
General Post Office
The island of Barbados has a developed infrastructure which may belie its 166 square miles. A part of that infrastructure includes communications whether by sea, air or telephone. The Post Office service provides several forms of this communication with the primary one being mail delivery to the network of over 90, 000 households on the island.
suntours-ad-400x40
The main post office in Barbados is The General Post Office (GPO), which is located in Cheapside, St. Michael, directly on the outskirts of the capital, Bridgetown. A large concrete structure, it is by far the biggest, with a spacious main area upstairs, where stamps can be purchased, a large post box section (where persons and companies have their access to their personal mail boxes).  A separate section downstairs receives customers who are sending or receiving parcels and there is also a small shop, where items like mail boxes for residential use can be purchased.
In addition to general mail delivery, there are other special services which are offered by the Barbados Postal Service. A special pick-up service can be availed of by other government offices as well as business places. This is facilitated by a phone call to the GPO to arrange the pickup from the respective office.
In keeping with modern technology and efficiencies, the GPO can boast of an e-commerce website. Use of this website allows customers the convenience of searching for and purchasing key items and services online. Stamps, memorabilia and other literature can be purchased online via this medium.
The General Post Office (GPO) also serves as the main hub for all the district post offices. The GPO is also home to the Barbados Philatelic Bureau.
Business hours for the General Post office are 7:30 am to 5:00 pm, Mondays to Fridays.</t>
        </r>
      </text>
    </comment>
    <comment ref="E4" authorId="0">
      <text>
        <r>
          <rPr>
            <b/>
            <sz val="9"/>
            <color indexed="81"/>
            <rFont val="Tahoma"/>
            <family val="2"/>
          </rPr>
          <t>Auteur:</t>
        </r>
        <r>
          <rPr>
            <sz val="9"/>
            <color indexed="81"/>
            <rFont val="Tahoma"/>
            <family val="2"/>
          </rPr>
          <t xml:space="preserve">
Mr. Nigel Cobham</t>
        </r>
      </text>
    </comment>
    <comment ref="C5" authorId="0">
      <text>
        <r>
          <rPr>
            <b/>
            <sz val="9"/>
            <color indexed="81"/>
            <rFont val="Tahoma"/>
            <family val="2"/>
          </rPr>
          <t>Auteur:</t>
        </r>
        <r>
          <rPr>
            <sz val="9"/>
            <color indexed="81"/>
            <rFont val="Tahoma"/>
            <family val="2"/>
          </rPr>
          <t xml:space="preserve">
Opening Hours (General)
Monday-Thursday   8am-12noon  &amp;   1pm -5:00pm
Friday                        8am-12noon  &amp;   1pm -4:30pm</t>
        </r>
      </text>
    </comment>
    <comment ref="B6" authorId="0">
      <text>
        <r>
          <rPr>
            <b/>
            <sz val="9"/>
            <color indexed="81"/>
            <rFont val="Tahoma"/>
            <family val="2"/>
          </rPr>
          <t>Auteur:</t>
        </r>
        <r>
          <rPr>
            <sz val="9"/>
            <color indexed="81"/>
            <rFont val="Tahoma"/>
            <family val="2"/>
          </rPr>
          <t xml:space="preserve">
https://www.mailboxesunlimited.com/rentals/
</t>
        </r>
      </text>
    </comment>
    <comment ref="C6" authorId="0">
      <text>
        <r>
          <rPr>
            <b/>
            <sz val="9"/>
            <color indexed="81"/>
            <rFont val="Tahoma"/>
            <family val="2"/>
          </rPr>
          <t>Auteur:</t>
        </r>
        <r>
          <rPr>
            <sz val="9"/>
            <color indexed="81"/>
            <rFont val="Tahoma"/>
            <family val="2"/>
          </rPr>
          <t xml:space="preserve">
We're located on Par-La-Ville Road in Hamilton
1 - 441 - 292 - 6563
Monday - Friday 
8:00 AM - 6:00 PM 
Saturday 
9:00 AM - 5:00 PM
48 Par - La - Ville Road,
Hamilton, Bermuda, 
HM11
Fax: 292-6587</t>
        </r>
      </text>
    </comment>
    <comment ref="D6" authorId="0">
      <text>
        <r>
          <rPr>
            <b/>
            <sz val="9"/>
            <color indexed="81"/>
            <rFont val="Tahoma"/>
            <family val="2"/>
          </rPr>
          <t>Auteur:</t>
        </r>
        <r>
          <rPr>
            <sz val="9"/>
            <color indexed="81"/>
            <rFont val="Tahoma"/>
            <family val="2"/>
          </rPr>
          <t xml:space="preserve">
Our Staff
 Steve Thomson
President
steve@mailboxesunlimited.com
Cindy Simmons
General Manager
cindy@mailboxesunlimited.com
Asa Moore
Manager
asa@mailboxesunlimited.com
Tanya Osewe
Accounts
accounts@mailboxesunlimited.com
U. S. Express
Send invoices and queries to this address
usexpress@mailboxesunlimited.com
</t>
        </r>
      </text>
    </comment>
    <comment ref="B8" authorId="0">
      <text>
        <r>
          <rPr>
            <b/>
            <sz val="9"/>
            <color indexed="81"/>
            <rFont val="Tahoma"/>
            <family val="2"/>
          </rPr>
          <t>Auteur:</t>
        </r>
        <r>
          <rPr>
            <sz val="9"/>
            <color indexed="81"/>
            <rFont val="Tahoma"/>
            <family val="2"/>
          </rPr>
          <t xml:space="preserve">
http://www.caymanpost.gov.ky/portal/page/portal/poshome/receivingmail/rental</t>
        </r>
      </text>
    </comment>
    <comment ref="B9" authorId="0">
      <text>
        <r>
          <rPr>
            <b/>
            <sz val="9"/>
            <color indexed="81"/>
            <rFont val="Tahoma"/>
            <charset val="1"/>
          </rPr>
          <t>Auteur:</t>
        </r>
        <r>
          <rPr>
            <sz val="9"/>
            <color indexed="81"/>
            <rFont val="Tahoma"/>
            <charset val="1"/>
          </rPr>
          <t xml:space="preserve">
https://www.cypruspost.post/en/home</t>
        </r>
      </text>
    </comment>
    <comment ref="B10" authorId="0">
      <text>
        <r>
          <rPr>
            <b/>
            <sz val="9"/>
            <color indexed="81"/>
            <rFont val="Tahoma"/>
            <charset val="1"/>
          </rPr>
          <t>Auteur:</t>
        </r>
        <r>
          <rPr>
            <sz val="9"/>
            <color indexed="81"/>
            <rFont val="Tahoma"/>
            <charset val="1"/>
          </rPr>
          <t xml:space="preserve">
https://www.egyptpost.org/</t>
        </r>
      </text>
    </comment>
    <comment ref="B11" authorId="0">
      <text>
        <r>
          <rPr>
            <b/>
            <sz val="9"/>
            <color indexed="81"/>
            <rFont val="Tahoma"/>
            <family val="2"/>
          </rPr>
          <t>Auteur:</t>
        </r>
        <r>
          <rPr>
            <sz val="9"/>
            <color indexed="81"/>
            <rFont val="Tahoma"/>
            <charset val="1"/>
          </rPr>
          <t xml:space="preserve">
https://www.royalgibraltar.post/services/</t>
        </r>
      </text>
    </comment>
    <comment ref="G11" authorId="0">
      <text>
        <r>
          <rPr>
            <b/>
            <sz val="9"/>
            <color indexed="81"/>
            <rFont val="Tahoma"/>
            <family val="2"/>
          </rPr>
          <t>Auteur:</t>
        </r>
        <r>
          <rPr>
            <sz val="9"/>
            <color indexed="81"/>
            <rFont val="Tahoma"/>
            <family val="2"/>
          </rPr>
          <t xml:space="preserve">
PO Box Rental:
£50.00 / per year  +  £30 deposit</t>
        </r>
      </text>
    </comment>
    <comment ref="B12" authorId="0">
      <text>
        <r>
          <rPr>
            <b/>
            <sz val="9"/>
            <color indexed="81"/>
            <rFont val="Tahoma"/>
            <family val="2"/>
          </rPr>
          <t>Auteur:</t>
        </r>
        <r>
          <rPr>
            <sz val="9"/>
            <color indexed="81"/>
            <rFont val="Tahoma"/>
            <family val="2"/>
          </rPr>
          <t xml:space="preserve">
https://www.guernseypost.com/</t>
        </r>
      </text>
    </comment>
    <comment ref="B13" authorId="0">
      <text>
        <r>
          <rPr>
            <b/>
            <sz val="9"/>
            <color indexed="81"/>
            <rFont val="Tahoma"/>
            <family val="2"/>
          </rPr>
          <t>Auteur:</t>
        </r>
        <r>
          <rPr>
            <sz val="9"/>
            <color indexed="81"/>
            <rFont val="Tahoma"/>
            <family val="2"/>
          </rPr>
          <t xml:space="preserve">
https://www.hongkongpost.hk/en/receiving_mail/letter_boxes/pobox/index.html</t>
        </r>
      </text>
    </comment>
    <comment ref="B14" authorId="0">
      <text>
        <r>
          <rPr>
            <b/>
            <sz val="9"/>
            <color indexed="81"/>
            <rFont val="Tahoma"/>
            <family val="2"/>
          </rPr>
          <t>Auteur:</t>
        </r>
        <r>
          <rPr>
            <sz val="9"/>
            <color indexed="81"/>
            <rFont val="Tahoma"/>
            <family val="2"/>
          </rPr>
          <t xml:space="preserve">
https://www.nethouse.ie/private-mailboxes-personal-standard-corporate/</t>
        </r>
      </text>
    </comment>
    <comment ref="G14" authorId="0">
      <text>
        <r>
          <rPr>
            <b/>
            <sz val="9"/>
            <color indexed="81"/>
            <rFont val="Tahoma"/>
            <family val="2"/>
          </rPr>
          <t>Auteur:</t>
        </r>
        <r>
          <rPr>
            <sz val="9"/>
            <color indexed="81"/>
            <rFont val="Tahoma"/>
            <family val="2"/>
          </rPr>
          <t xml:space="preserve">
Convenient Coll-in Location in Dublin 6, Rathmines, Ireland.
24 Hours Access
€12 Registration Fee
€5 Key Deposit
Mail Scanning and Forwarning Services</t>
        </r>
      </text>
    </comment>
    <comment ref="B20" authorId="0">
      <text>
        <r>
          <rPr>
            <b/>
            <sz val="9"/>
            <color indexed="81"/>
            <rFont val="Tahoma"/>
            <charset val="1"/>
          </rPr>
          <t>Auteur:</t>
        </r>
        <r>
          <rPr>
            <sz val="9"/>
            <color indexed="81"/>
            <rFont val="Tahoma"/>
            <charset val="1"/>
          </rPr>
          <t xml:space="preserve">
https://www.maltapost.com/poboxrates</t>
        </r>
      </text>
    </comment>
    <comment ref="G20" authorId="0">
      <text>
        <r>
          <rPr>
            <b/>
            <sz val="9"/>
            <color indexed="81"/>
            <rFont val="Tahoma"/>
            <charset val="1"/>
          </rPr>
          <t>Auteur:</t>
        </r>
        <r>
          <rPr>
            <sz val="9"/>
            <color indexed="81"/>
            <rFont val="Tahoma"/>
            <charset val="1"/>
          </rPr>
          <t xml:space="preserve">
Rent of PO Box Extra Large (35.50cmx28cmx35.50cm) - €163.06
Deposit on key (one - time, refundable cost) - €11.65</t>
        </r>
      </text>
    </comment>
    <comment ref="B21" authorId="0">
      <text>
        <r>
          <rPr>
            <b/>
            <sz val="9"/>
            <color indexed="81"/>
            <rFont val="Tahoma"/>
            <family val="2"/>
          </rPr>
          <t>Auteur:</t>
        </r>
        <r>
          <rPr>
            <sz val="9"/>
            <color indexed="81"/>
            <rFont val="Tahoma"/>
            <charset val="1"/>
          </rPr>
          <t xml:space="preserve">
http://www.mauritiuspost.mu/products-and-services/po-box-rental</t>
        </r>
      </text>
    </comment>
    <comment ref="C21" authorId="0">
      <text>
        <r>
          <rPr>
            <b/>
            <sz val="9"/>
            <color indexed="81"/>
            <rFont val="Tahoma"/>
            <charset val="1"/>
          </rPr>
          <t>Auteur:
Mr Baichan 
www.mauritiuspost.mu</t>
        </r>
      </text>
    </comment>
    <comment ref="G21" authorId="0">
      <text>
        <r>
          <rPr>
            <b/>
            <sz val="9"/>
            <color indexed="81"/>
            <rFont val="Tahoma"/>
            <family val="2"/>
          </rPr>
          <t>Auteur:</t>
        </r>
        <r>
          <rPr>
            <sz val="9"/>
            <color indexed="81"/>
            <rFont val="Tahoma"/>
            <family val="2"/>
          </rPr>
          <t xml:space="preserve">
BOX RENTAL Individual (Yearly):     For small box: Rs  750    -   For large box: Rs1,050  -   Key Deposit fee - small &amp; large: Rs 700</t>
        </r>
      </text>
    </comment>
    <comment ref="B23" authorId="0">
      <text>
        <r>
          <rPr>
            <b/>
            <sz val="9"/>
            <color indexed="81"/>
            <rFont val="Tahoma"/>
            <family val="2"/>
          </rPr>
          <t>Auteur:</t>
        </r>
        <r>
          <rPr>
            <sz val="9"/>
            <color indexed="81"/>
            <rFont val="Tahoma"/>
            <charset val="1"/>
          </rPr>
          <t xml:space="preserve">
https://locations.theupsstore.com/fl/panama-city-beach/13800-panama-city-beach-pkwy/mailbox-services
</t>
        </r>
      </text>
    </comment>
    <comment ref="B24" authorId="0">
      <text>
        <r>
          <rPr>
            <b/>
            <sz val="9"/>
            <color indexed="81"/>
            <rFont val="Tahoma"/>
            <family val="2"/>
          </rPr>
          <t>Auteur:</t>
        </r>
        <r>
          <rPr>
            <sz val="9"/>
            <color indexed="81"/>
            <rFont val="Tahoma"/>
            <charset val="1"/>
          </rPr>
          <t xml:space="preserve">
http://www.seychelles-post.com/private-letter-box.php
</t>
        </r>
      </text>
    </comment>
    <comment ref="B25" authorId="0">
      <text>
        <r>
          <rPr>
            <b/>
            <sz val="9"/>
            <color indexed="81"/>
            <rFont val="Tahoma"/>
            <family val="2"/>
          </rPr>
          <t>Auteur:</t>
        </r>
        <r>
          <rPr>
            <sz val="9"/>
            <color indexed="81"/>
            <rFont val="Tahoma"/>
            <charset val="1"/>
          </rPr>
          <t xml:space="preserve">
https://www.singpost.com/send-receive/receive-mail-parcel/rent-po-box
</t>
        </r>
      </text>
    </comment>
    <comment ref="B26" authorId="0">
      <text>
        <r>
          <rPr>
            <b/>
            <sz val="9"/>
            <color indexed="81"/>
            <rFont val="Tahoma"/>
            <family val="2"/>
          </rPr>
          <t>Auteur:</t>
        </r>
        <r>
          <rPr>
            <sz val="9"/>
            <color indexed="81"/>
            <rFont val="Tahoma"/>
            <family val="2"/>
          </rPr>
          <t xml:space="preserve">
https://www.post.ch/fr/entreprises/reception/choix-du-lieu-de-reception/prix-de-reception-du-courrier/prix-case-postale</t>
        </r>
      </text>
    </comment>
    <comment ref="B27" authorId="0">
      <text>
        <r>
          <rPr>
            <b/>
            <sz val="9"/>
            <color indexed="81"/>
            <rFont val="Tahoma"/>
            <family val="2"/>
          </rPr>
          <t>Auteur:</t>
        </r>
        <r>
          <rPr>
            <sz val="9"/>
            <color indexed="81"/>
            <rFont val="Tahoma"/>
            <family val="2"/>
          </rPr>
          <t xml:space="preserve">
https://www.epg.gov.ae/portal/_en/service.xhtml?service=service136
</t>
        </r>
      </text>
    </comment>
  </commentList>
</comments>
</file>

<file path=xl/comments8.xml><?xml version="1.0" encoding="utf-8"?>
<comments xmlns="http://schemas.openxmlformats.org/spreadsheetml/2006/main">
  <authors>
    <author>Auteur</author>
  </authors>
  <commentList>
    <comment ref="B17" authorId="0">
      <text>
        <r>
          <rPr>
            <b/>
            <sz val="9"/>
            <color indexed="81"/>
            <rFont val="Tahoma"/>
            <family val="2"/>
          </rPr>
          <t>Auteur:</t>
        </r>
        <r>
          <rPr>
            <sz val="9"/>
            <color indexed="81"/>
            <rFont val="Tahoma"/>
            <family val="2"/>
          </rPr>
          <t xml:space="preserve">
Net wealth is multiplied by 4% to calculate the notional income from wealth, which is subject to income tax.</t>
        </r>
      </text>
    </comment>
    <comment ref="B26" authorId="0">
      <text>
        <r>
          <rPr>
            <b/>
            <sz val="9"/>
            <color indexed="81"/>
            <rFont val="Tahoma"/>
            <family val="2"/>
          </rPr>
          <t>Auteur:</t>
        </r>
        <r>
          <rPr>
            <sz val="9"/>
            <color indexed="81"/>
            <rFont val="Tahoma"/>
            <family val="2"/>
          </rPr>
          <t xml:space="preserve">
There is no federal tax, but the cantons levy net wealth7net worth tax.</t>
        </r>
      </text>
    </comment>
  </commentList>
</comments>
</file>

<file path=xl/comments9.xml><?xml version="1.0" encoding="utf-8"?>
<comments xmlns="http://schemas.openxmlformats.org/spreadsheetml/2006/main">
  <authors>
    <author>Auteur</author>
  </authors>
  <commentList>
    <comment ref="B5" authorId="0">
      <text>
        <r>
          <rPr>
            <b/>
            <sz val="9"/>
            <color indexed="81"/>
            <rFont val="Tahoma"/>
            <family val="2"/>
          </rPr>
          <t>Auteur:</t>
        </r>
        <r>
          <rPr>
            <sz val="9"/>
            <color indexed="81"/>
            <rFont val="Tahoma"/>
            <family val="2"/>
          </rPr>
          <t xml:space="preserve">
https://ambergriscaye.com/economics/ss.html
https://www.socialsecurity.org.bz/contributions/</t>
        </r>
      </text>
    </comment>
    <comment ref="C5" authorId="0">
      <text>
        <r>
          <rPr>
            <b/>
            <sz val="9"/>
            <color indexed="81"/>
            <rFont val="Tahoma"/>
            <family val="2"/>
          </rPr>
          <t>Auteur:</t>
        </r>
        <r>
          <rPr>
            <sz val="9"/>
            <color indexed="81"/>
            <rFont val="Tahoma"/>
            <family val="2"/>
          </rPr>
          <t xml:space="preserve">
https://ambergriscaye.com/economics/ss.html
https://www.socialsecurity.org.bz/contributions/</t>
        </r>
      </text>
    </comment>
    <comment ref="B6" authorId="0">
      <text>
        <r>
          <rPr>
            <b/>
            <sz val="9"/>
            <color indexed="81"/>
            <rFont val="Tahoma"/>
            <family val="2"/>
          </rPr>
          <t>Auteur:</t>
        </r>
        <r>
          <rPr>
            <sz val="9"/>
            <color indexed="81"/>
            <rFont val="Tahoma"/>
            <family val="2"/>
          </rPr>
          <t xml:space="preserve">
https://home.kpmg.com/xx/en/home/insights/2015/11/bermuda-other-taxes-and-levies.html
https://www.gov.bm/department/social-insurance</t>
        </r>
      </text>
    </comment>
    <comment ref="C6" authorId="0">
      <text>
        <r>
          <rPr>
            <b/>
            <sz val="9"/>
            <color indexed="81"/>
            <rFont val="Tahoma"/>
            <family val="2"/>
          </rPr>
          <t>Auteur:</t>
        </r>
        <r>
          <rPr>
            <sz val="9"/>
            <color indexed="81"/>
            <rFont val="Tahoma"/>
            <family val="2"/>
          </rPr>
          <t xml:space="preserve">
https://home.kpmg.com/xx/en/home/insights/2015/11/bermuda-other-taxes-and-levies.html
https://www.gov.bm/department/social-insurance</t>
        </r>
      </text>
    </comment>
    <comment ref="B7" authorId="0">
      <text>
        <r>
          <rPr>
            <b/>
            <sz val="9"/>
            <color indexed="81"/>
            <rFont val="Tahoma"/>
            <family val="2"/>
          </rPr>
          <t>Auteur:</t>
        </r>
        <r>
          <rPr>
            <sz val="9"/>
            <color indexed="81"/>
            <rFont val="Tahoma"/>
            <family val="2"/>
          </rPr>
          <t xml:space="preserve">
https://www2.deloitte.com/content/dam/Deloitte/global/Documents/Tax/dttl-tax-britishvirginislandshighlights-2018.pdf?nc=1
</t>
        </r>
      </text>
    </comment>
    <comment ref="C7" authorId="0">
      <text>
        <r>
          <rPr>
            <b/>
            <sz val="9"/>
            <color indexed="81"/>
            <rFont val="Tahoma"/>
            <family val="2"/>
          </rPr>
          <t>Auteur:</t>
        </r>
        <r>
          <rPr>
            <sz val="9"/>
            <color indexed="81"/>
            <rFont val="Tahoma"/>
            <family val="2"/>
          </rPr>
          <t xml:space="preserve">
https://www2.deloitte.com/content/dam/Deloitte/global/Documents/Tax/dttl-tax-britishvirginislandshighlights-2018.pdf?nc=1</t>
        </r>
      </text>
    </comment>
    <comment ref="B8" authorId="0">
      <text>
        <r>
          <rPr>
            <b/>
            <sz val="9"/>
            <color indexed="81"/>
            <rFont val="Tahoma"/>
            <family val="2"/>
          </rPr>
          <t>Auteur:</t>
        </r>
        <r>
          <rPr>
            <sz val="9"/>
            <color indexed="81"/>
            <rFont val="Tahoma"/>
            <family val="2"/>
          </rPr>
          <t xml:space="preserve">
https://www2.deloitte.com/content/dam/Deloitte/global/Documents/Tax/dttl-tax-caymanislandshighlights-2018.pdf</t>
        </r>
      </text>
    </comment>
    <comment ref="C8" authorId="0">
      <text>
        <r>
          <rPr>
            <b/>
            <sz val="9"/>
            <color indexed="81"/>
            <rFont val="Tahoma"/>
            <family val="2"/>
          </rPr>
          <t>Auteur:</t>
        </r>
        <r>
          <rPr>
            <sz val="9"/>
            <color indexed="81"/>
            <rFont val="Tahoma"/>
            <family val="2"/>
          </rPr>
          <t xml:space="preserve">
https://www2.deloitte.com/content/dam/Deloitte/global/Documents/Tax/dttl-tax-caymanislandshighlights-2018.pdf</t>
        </r>
      </text>
    </comment>
    <comment ref="B11" authorId="0">
      <text>
        <r>
          <rPr>
            <b/>
            <sz val="9"/>
            <color indexed="81"/>
            <rFont val="Tahoma"/>
            <family val="2"/>
          </rPr>
          <t>Auteur:</t>
        </r>
        <r>
          <rPr>
            <sz val="9"/>
            <color indexed="81"/>
            <rFont val="Tahoma"/>
            <family val="2"/>
          </rPr>
          <t xml:space="preserve">
https://www2.deloitte.com/content/dam/Deloitte/global/Documents/Tax/dttl-tax-gibraltarhighlights-2018.pdf</t>
        </r>
      </text>
    </comment>
    <comment ref="C11" authorId="0">
      <text>
        <r>
          <rPr>
            <b/>
            <sz val="9"/>
            <color indexed="81"/>
            <rFont val="Tahoma"/>
            <family val="2"/>
          </rPr>
          <t>Auteur:</t>
        </r>
        <r>
          <rPr>
            <sz val="9"/>
            <color indexed="81"/>
            <rFont val="Tahoma"/>
            <family val="2"/>
          </rPr>
          <t xml:space="preserve">
https://www2.deloitte.com/content/dam/Deloitte/global/Documents/Tax/dttl-tax-gibraltarhighlights-2018.pdf</t>
        </r>
      </text>
    </comment>
    <comment ref="B12" authorId="0">
      <text>
        <r>
          <rPr>
            <b/>
            <sz val="9"/>
            <color indexed="81"/>
            <rFont val="Tahoma"/>
            <family val="2"/>
          </rPr>
          <t>Auteur:</t>
        </r>
        <r>
          <rPr>
            <sz val="9"/>
            <color indexed="81"/>
            <rFont val="Tahoma"/>
            <family val="2"/>
          </rPr>
          <t xml:space="preserve">
https://www2.deloitte.com/content/dam/Deloitte/global/Documents/Tax/dttl-tax-guernseyhighlights-2018.pdf
https://home.kpmg.com/xx/en/home/insights/2011/12/guernsey-other-taxes-levies.html</t>
        </r>
      </text>
    </comment>
    <comment ref="C12" authorId="0">
      <text>
        <r>
          <rPr>
            <b/>
            <sz val="9"/>
            <color indexed="81"/>
            <rFont val="Tahoma"/>
            <family val="2"/>
          </rPr>
          <t>Auteur:</t>
        </r>
        <r>
          <rPr>
            <sz val="9"/>
            <color indexed="81"/>
            <rFont val="Tahoma"/>
            <family val="2"/>
          </rPr>
          <t xml:space="preserve">
https://www2.deloitte.com/content/dam/Deloitte/global/Documents/Tax/dttl-tax-guernseyhighlights-2018.pdf
https://home.kpmg.com/xx/en/home/insights/2011/12/guernsey-other-taxes-levies.html</t>
        </r>
      </text>
    </comment>
    <comment ref="B15" authorId="0">
      <text>
        <r>
          <rPr>
            <b/>
            <sz val="9"/>
            <color indexed="81"/>
            <rFont val="Tahoma"/>
            <family val="2"/>
          </rPr>
          <t>Auteur:</t>
        </r>
        <r>
          <rPr>
            <sz val="9"/>
            <color indexed="81"/>
            <rFont val="Tahoma"/>
            <family val="2"/>
          </rPr>
          <t xml:space="preserve">
https://home.kpmg.com/xx/en/home/insights/2011/12/isle-of-man-other-taxes-levies.html
https://www2.deloitte.com/content/dam/Deloitte/global/Documents/Tax/dttl-tax-isleofmanhighlights-2018.pdf</t>
        </r>
      </text>
    </comment>
    <comment ref="B16" authorId="0">
      <text>
        <r>
          <rPr>
            <b/>
            <sz val="9"/>
            <color indexed="81"/>
            <rFont val="Tahoma"/>
            <family val="2"/>
          </rPr>
          <t>Auteur:</t>
        </r>
        <r>
          <rPr>
            <sz val="9"/>
            <color indexed="81"/>
            <rFont val="Tahoma"/>
            <family val="2"/>
          </rPr>
          <t xml:space="preserve">
https://www.gov.je/LifeEvents/MovingToJersey/pages/tax.aspx
</t>
        </r>
      </text>
    </comment>
    <comment ref="C16" authorId="0">
      <text>
        <r>
          <rPr>
            <b/>
            <sz val="9"/>
            <color indexed="81"/>
            <rFont val="Tahoma"/>
            <family val="2"/>
          </rPr>
          <t>Auteur:</t>
        </r>
        <r>
          <rPr>
            <sz val="9"/>
            <color indexed="81"/>
            <rFont val="Tahoma"/>
            <family val="2"/>
          </rPr>
          <t xml:space="preserve">
https://www.gov.je/LifeEvents/MovingToJersey/pages/tax.aspx</t>
        </r>
      </text>
    </comment>
    <comment ref="B17" authorId="0">
      <text>
        <r>
          <rPr>
            <b/>
            <sz val="9"/>
            <color indexed="81"/>
            <rFont val="Tahoma"/>
            <family val="2"/>
          </rPr>
          <t>Auteur:</t>
        </r>
        <r>
          <rPr>
            <sz val="9"/>
            <color indexed="81"/>
            <rFont val="Tahoma"/>
            <family val="2"/>
          </rPr>
          <t xml:space="preserve">
http://taxsummaries.pwc.com/ID/Liechtenstein-Corporate-Other-taxes
https://www.liechtenstein-business.li/en/for-employees/social-insurance-system/
https://www2.deloitte.com/content/dam/Deloitte/global/Documents/Tax/dttl-tax-liechtensteinhighlights-2018.pdf
http://www.grant-thornton.ch/globalassets/1.-member-firms/switzerland/insights/pdf/201708/tax_liechtenstein_flyer_0817.pdf</t>
        </r>
      </text>
    </comment>
    <comment ref="C17" authorId="0">
      <text>
        <r>
          <rPr>
            <b/>
            <sz val="9"/>
            <color indexed="81"/>
            <rFont val="Tahoma"/>
            <family val="2"/>
          </rPr>
          <t>Auteur:</t>
        </r>
        <r>
          <rPr>
            <sz val="9"/>
            <color indexed="81"/>
            <rFont val="Tahoma"/>
            <family val="2"/>
          </rPr>
          <t xml:space="preserve">
http://taxsummaries.pwc.com/ID/Liechtenstein-Corporate-Other-taxes
https://www.liechtenstein-business.li/en/for-employees/social-insurance-system/
https://www2.deloitte.com/content/dam/Deloitte/global/Documents/Tax/dttl-tax-liechtensteinhighlights-2018.pdf
http://www.grant-thornton.ch/globalassets/1.-member-firms/switzerland/insights/pdf/201708/tax_liechtenstein_flyer_0817.pdf</t>
        </r>
      </text>
    </comment>
  </commentList>
</comments>
</file>

<file path=xl/comments10.xml><?xml version="1.0" encoding="utf-8"?>
<comments xmlns="http://schemas.openxmlformats.org/spreadsheetml/2006/main">
  <authors>
    <author>Auteur</author>
  </authors>
  <commentList>
    <comment ref="B2" authorId="0">
      <text>
        <r>
          <rPr>
            <b/>
            <sz val="9"/>
            <color indexed="81"/>
            <rFont val="Tahoma"/>
            <family val="2"/>
          </rPr>
          <t>Auteur:</t>
        </r>
        <r>
          <rPr>
            <sz val="9"/>
            <color indexed="81"/>
            <rFont val="Tahoma"/>
            <family val="2"/>
          </rPr>
          <t xml:space="preserve">
Can be carried forward for 10 years. No carry back.
Treated as ordinary losses</t>
        </r>
      </text>
    </comment>
    <comment ref="B3" authorId="0">
      <text>
        <r>
          <rPr>
            <b/>
            <sz val="9"/>
            <color indexed="81"/>
            <rFont val="Tahoma"/>
            <family val="2"/>
          </rPr>
          <t>Auteur:</t>
        </r>
        <r>
          <rPr>
            <sz val="9"/>
            <color indexed="81"/>
            <rFont val="Tahoma"/>
            <family val="2"/>
          </rPr>
          <t xml:space="preserve">
N/A - The Bahamas does not levy corporation tax.
Not tax-deductible since capital gains are not taxable</t>
        </r>
      </text>
    </comment>
    <comment ref="B4" authorId="0">
      <text>
        <r>
          <rPr>
            <b/>
            <sz val="9"/>
            <color indexed="81"/>
            <rFont val="Tahoma"/>
            <family val="2"/>
          </rPr>
          <t>Auteur:</t>
        </r>
        <r>
          <rPr>
            <sz val="9"/>
            <color indexed="81"/>
            <rFont val="Tahoma"/>
            <family val="2"/>
          </rPr>
          <t xml:space="preserve">
Carried forward for 9 years.
Not tax-deductible since capital gains are not taxable</t>
        </r>
      </text>
    </comment>
    <comment ref="B5" authorId="0">
      <text>
        <r>
          <rPr>
            <b/>
            <sz val="9"/>
            <color indexed="81"/>
            <rFont val="Tahoma"/>
            <family val="2"/>
          </rPr>
          <t>Auteur:</t>
        </r>
        <r>
          <rPr>
            <sz val="9"/>
            <color indexed="81"/>
            <rFont val="Tahoma"/>
            <family val="2"/>
          </rPr>
          <t xml:space="preserve">
N/A - The Belize IBC is exempt from corporation tax.
N/A - The Belize IBC is not subject to capital gains tax.</t>
        </r>
      </text>
    </comment>
    <comment ref="B6" authorId="0">
      <text>
        <r>
          <rPr>
            <b/>
            <sz val="9"/>
            <color indexed="81"/>
            <rFont val="Tahoma"/>
            <family val="2"/>
          </rPr>
          <t>Auteur:</t>
        </r>
        <r>
          <rPr>
            <sz val="9"/>
            <color indexed="81"/>
            <rFont val="Tahoma"/>
            <family val="2"/>
          </rPr>
          <t xml:space="preserve">
N/A - Bermuda does not levy corporation tax.
Not tax-deductible since capital gains are not taxable.</t>
        </r>
      </text>
    </comment>
    <comment ref="B7" authorId="0">
      <text>
        <r>
          <rPr>
            <b/>
            <sz val="9"/>
            <color indexed="81"/>
            <rFont val="Tahoma"/>
            <family val="2"/>
          </rPr>
          <t>Auteur:</t>
        </r>
        <r>
          <rPr>
            <sz val="9"/>
            <color indexed="81"/>
            <rFont val="Tahoma"/>
            <family val="2"/>
          </rPr>
          <t xml:space="preserve">
N/A - The BVI do not levy corporation tax.
Not tax-deductible since capital gains are not taxable.</t>
        </r>
      </text>
    </comment>
    <comment ref="B8" authorId="0">
      <text>
        <r>
          <rPr>
            <b/>
            <sz val="9"/>
            <color indexed="81"/>
            <rFont val="Tahoma"/>
            <family val="2"/>
          </rPr>
          <t>Auteur:</t>
        </r>
        <r>
          <rPr>
            <sz val="9"/>
            <color indexed="81"/>
            <rFont val="Tahoma"/>
            <family val="2"/>
          </rPr>
          <t xml:space="preserve">
N/A - The Cayman Islands do not levy corporation tax.
Not tax-deductible since capital gains are not taxable.</t>
        </r>
      </text>
    </comment>
    <comment ref="B9" authorId="0">
      <text>
        <r>
          <rPr>
            <b/>
            <sz val="9"/>
            <color indexed="81"/>
            <rFont val="Tahoma"/>
            <family val="2"/>
          </rPr>
          <t>Auteur:</t>
        </r>
        <r>
          <rPr>
            <sz val="9"/>
            <color indexed="81"/>
            <rFont val="Tahoma"/>
            <family val="2"/>
          </rPr>
          <t xml:space="preserve">
Can be carried forward for 5 years. No carry back.
Yes, can be carried forward indefinitely.</t>
        </r>
      </text>
    </comment>
    <comment ref="B10" authorId="0">
      <text>
        <r>
          <rPr>
            <b/>
            <sz val="9"/>
            <color indexed="81"/>
            <rFont val="Tahoma"/>
            <family val="2"/>
          </rPr>
          <t>Auteur:</t>
        </r>
        <r>
          <rPr>
            <sz val="9"/>
            <color indexed="81"/>
            <rFont val="Tahoma"/>
            <family val="2"/>
          </rPr>
          <t xml:space="preserve">
Can be carried forward for 5 years.
Yes, can be carried forward for 3 or 5 years.</t>
        </r>
      </text>
    </comment>
    <comment ref="B11" authorId="0">
      <text>
        <r>
          <rPr>
            <b/>
            <sz val="9"/>
            <color indexed="81"/>
            <rFont val="Tahoma"/>
            <family val="2"/>
          </rPr>
          <t>Auteur:</t>
        </r>
        <r>
          <rPr>
            <sz val="9"/>
            <color indexed="81"/>
            <rFont val="Tahoma"/>
            <family val="2"/>
          </rPr>
          <t xml:space="preserve">
Can be carried forward indefinitely. No carry back.
Not tax-deductible since capital gains are not taxable</t>
        </r>
      </text>
    </comment>
    <comment ref="B12" authorId="0">
      <text>
        <r>
          <rPr>
            <b/>
            <sz val="9"/>
            <color indexed="81"/>
            <rFont val="Tahoma"/>
            <family val="2"/>
          </rPr>
          <t>Auteur:</t>
        </r>
        <r>
          <rPr>
            <sz val="9"/>
            <color indexed="81"/>
            <rFont val="Tahoma"/>
            <family val="2"/>
          </rPr>
          <t xml:space="preserve">
Can be carried forward indefinitely. No carry back.
Not tax-deductible since capital gains ate not taxable.</t>
        </r>
      </text>
    </comment>
    <comment ref="B13" authorId="0">
      <text>
        <r>
          <rPr>
            <b/>
            <sz val="9"/>
            <color indexed="81"/>
            <rFont val="Tahoma"/>
            <family val="2"/>
          </rPr>
          <t>Auteur:</t>
        </r>
        <r>
          <rPr>
            <sz val="9"/>
            <color indexed="81"/>
            <rFont val="Tahoma"/>
            <family val="2"/>
          </rPr>
          <t xml:space="preserve">
Can be carried forward indefinitely. No carry back.
Not tax-deductible since capital gains are not taxable.</t>
        </r>
      </text>
    </comment>
    <comment ref="B14" authorId="0">
      <text>
        <r>
          <rPr>
            <b/>
            <sz val="9"/>
            <color indexed="81"/>
            <rFont val="Tahoma"/>
            <family val="2"/>
          </rPr>
          <t>Auteur:</t>
        </r>
        <r>
          <rPr>
            <sz val="9"/>
            <color indexed="81"/>
            <rFont val="Tahoma"/>
            <family val="2"/>
          </rPr>
          <t xml:space="preserve">
Can be carried forward indefinitely. 
Carry back for 1 year only.
Can be set-off against taxable capital gains of same year or carried forward.</t>
        </r>
      </text>
    </comment>
    <comment ref="B15" authorId="0">
      <text>
        <r>
          <rPr>
            <b/>
            <sz val="9"/>
            <color indexed="81"/>
            <rFont val="Tahoma"/>
            <family val="2"/>
          </rPr>
          <t>Auteur:</t>
        </r>
        <r>
          <rPr>
            <sz val="9"/>
            <color indexed="81"/>
            <rFont val="Tahoma"/>
            <family val="2"/>
          </rPr>
          <t xml:space="preserve">
Can be carried forward indefinitely.
 Can be carried back for 1 year.
Not tax-deductible since capital gains are not taxable</t>
        </r>
      </text>
    </comment>
    <comment ref="B16" authorId="0">
      <text>
        <r>
          <rPr>
            <b/>
            <sz val="9"/>
            <color indexed="81"/>
            <rFont val="Tahoma"/>
            <family val="2"/>
          </rPr>
          <t>Auteur:</t>
        </r>
        <r>
          <rPr>
            <sz val="9"/>
            <color indexed="81"/>
            <rFont val="Tahoma"/>
            <family val="2"/>
          </rPr>
          <t xml:space="preserve">
Can be carried forward indefinitely. 
No carry back.
Not tax-deductible since capital gains are not taxable.</t>
        </r>
      </text>
    </comment>
    <comment ref="B17" authorId="0">
      <text>
        <r>
          <rPr>
            <b/>
            <sz val="9"/>
            <color indexed="81"/>
            <rFont val="Tahoma"/>
            <family val="2"/>
          </rPr>
          <t>Auteur:</t>
        </r>
        <r>
          <rPr>
            <sz val="9"/>
            <color indexed="81"/>
            <rFont val="Tahoma"/>
            <family val="2"/>
          </rPr>
          <t xml:space="preserve">
Can be carried forward indefinitely with a limitation on utilisation each year of 70%. 
No carry back.
No specific rule in the legislation.</t>
        </r>
      </text>
    </comment>
    <comment ref="B18" authorId="0">
      <text>
        <r>
          <rPr>
            <b/>
            <sz val="9"/>
            <color indexed="81"/>
            <rFont val="Tahoma"/>
            <family val="2"/>
          </rPr>
          <t>Auteur:</t>
        </r>
        <r>
          <rPr>
            <sz val="9"/>
            <color indexed="81"/>
            <rFont val="Tahoma"/>
            <family val="2"/>
          </rPr>
          <t xml:space="preserve">
Can be carried forward indefinitely. 
No carry back.
Can only be used to set off capital profits resulting from the transfer of securities or derivative financial instruments.</t>
        </r>
      </text>
    </comment>
    <comment ref="B19" authorId="0">
      <text>
        <r>
          <rPr>
            <b/>
            <sz val="9"/>
            <color indexed="81"/>
            <rFont val="Tahoma"/>
            <family val="2"/>
          </rPr>
          <t>Auteur:</t>
        </r>
        <r>
          <rPr>
            <sz val="9"/>
            <color indexed="81"/>
            <rFont val="Tahoma"/>
            <family val="2"/>
          </rPr>
          <t xml:space="preserve">
Can be carried forward indefinitely.
No carry back.
Treated as ordinary losses</t>
        </r>
      </text>
    </comment>
    <comment ref="B20" authorId="0">
      <text>
        <r>
          <rPr>
            <b/>
            <sz val="9"/>
            <color indexed="81"/>
            <rFont val="Tahoma"/>
            <family val="2"/>
          </rPr>
          <t>Auteur:</t>
        </r>
        <r>
          <rPr>
            <sz val="9"/>
            <color indexed="81"/>
            <rFont val="Tahoma"/>
            <family val="2"/>
          </rPr>
          <t xml:space="preserve">
Can be carried forward indefinitely.
Can be carried forward indefinitely.</t>
        </r>
      </text>
    </comment>
    <comment ref="B21" authorId="0">
      <text>
        <r>
          <rPr>
            <b/>
            <sz val="9"/>
            <color indexed="81"/>
            <rFont val="Tahoma"/>
            <family val="2"/>
          </rPr>
          <t>Auteur:</t>
        </r>
        <r>
          <rPr>
            <sz val="9"/>
            <color indexed="81"/>
            <rFont val="Tahoma"/>
            <family val="2"/>
          </rPr>
          <t xml:space="preserve">
Can be carried forward for 5 years. 
No carry back.
Not tax-deductible since capital gains are not taxable.</t>
        </r>
      </text>
    </comment>
    <comment ref="B22" authorId="0">
      <text>
        <r>
          <rPr>
            <b/>
            <sz val="9"/>
            <color indexed="81"/>
            <rFont val="Tahoma"/>
            <family val="2"/>
          </rPr>
          <t>Auteur:</t>
        </r>
        <r>
          <rPr>
            <sz val="9"/>
            <color indexed="81"/>
            <rFont val="Tahoma"/>
            <family val="2"/>
          </rPr>
          <t xml:space="preserve">
Can be carried forward for 9 years. 
Can be carried back for 1 year.
Can be set-off against other taxable income except from capital losses on qualifying participations.</t>
        </r>
      </text>
    </comment>
    <comment ref="B23" authorId="0">
      <text>
        <r>
          <rPr>
            <b/>
            <sz val="9"/>
            <color indexed="81"/>
            <rFont val="Tahoma"/>
            <family val="2"/>
          </rPr>
          <t>Auteur:</t>
        </r>
        <r>
          <rPr>
            <sz val="9"/>
            <color indexed="81"/>
            <rFont val="Tahoma"/>
            <family val="2"/>
          </rPr>
          <t xml:space="preserve">
Can be carried forward for 5 years (subject to restrictions). 
No carry back.
Not deductible from capital gains.</t>
        </r>
      </text>
    </comment>
    <comment ref="B24" authorId="0">
      <text>
        <r>
          <rPr>
            <b/>
            <sz val="9"/>
            <color indexed="81"/>
            <rFont val="Tahoma"/>
            <family val="2"/>
          </rPr>
          <t>Auteur:</t>
        </r>
        <r>
          <rPr>
            <sz val="9"/>
            <color indexed="81"/>
            <rFont val="Tahoma"/>
            <family val="2"/>
          </rPr>
          <t xml:space="preserve">
Can be carried forward for 5 years. 
No carry back.
Not tax-deductible since capital gains are not taxable</t>
        </r>
      </text>
    </comment>
    <comment ref="B25" authorId="0">
      <text>
        <r>
          <rPr>
            <b/>
            <sz val="9"/>
            <color indexed="81"/>
            <rFont val="Tahoma"/>
            <family val="2"/>
          </rPr>
          <t>Auteur:</t>
        </r>
        <r>
          <rPr>
            <sz val="9"/>
            <color indexed="81"/>
            <rFont val="Tahoma"/>
            <family val="2"/>
          </rPr>
          <t xml:space="preserve">
Can be carried forward indefinitely. 
Can be carried back for 1 year subject to a cap of SGD 100,000.
Not tax-deductible since capital gains are not taxable.</t>
        </r>
      </text>
    </comment>
    <comment ref="B26" authorId="0">
      <text>
        <r>
          <rPr>
            <b/>
            <sz val="9"/>
            <color indexed="81"/>
            <rFont val="Tahoma"/>
            <family val="2"/>
          </rPr>
          <t>Auteur:</t>
        </r>
        <r>
          <rPr>
            <sz val="9"/>
            <color indexed="81"/>
            <rFont val="Tahoma"/>
            <family val="2"/>
          </rPr>
          <t xml:space="preserve">
Can be carried forward for 7 years. 
No carry back.
Can be set-off against taxable profits.</t>
        </r>
      </text>
    </comment>
    <comment ref="B27" authorId="0">
      <text>
        <r>
          <rPr>
            <b/>
            <sz val="9"/>
            <color indexed="81"/>
            <rFont val="Tahoma"/>
            <family val="2"/>
          </rPr>
          <t>Auteur:</t>
        </r>
        <r>
          <rPr>
            <sz val="9"/>
            <color indexed="81"/>
            <rFont val="Tahoma"/>
            <family val="2"/>
          </rPr>
          <t xml:space="preserve">
N/A - No tax for Dubai DIFC companies.
Not tax-deductible since capital gains are not taxable.</t>
        </r>
      </text>
    </comment>
    <comment ref="B28" authorId="0">
      <text>
        <r>
          <rPr>
            <b/>
            <sz val="9"/>
            <color indexed="81"/>
            <rFont val="Tahoma"/>
            <family val="2"/>
          </rPr>
          <t>Auteur:</t>
        </r>
        <r>
          <rPr>
            <sz val="9"/>
            <color indexed="81"/>
            <rFont val="Tahoma"/>
            <family val="2"/>
          </rPr>
          <t xml:space="preserve">
N/A - RAK does not levy corporation tax.
Not tax-deductible since capital gains are not taxable.</t>
        </r>
      </text>
    </comment>
  </commentList>
</comments>
</file>

<file path=xl/comments11.xml><?xml version="1.0" encoding="utf-8"?>
<comments xmlns="http://schemas.openxmlformats.org/spreadsheetml/2006/main">
  <authors>
    <author>Auteur</author>
  </authors>
  <commentList>
    <comment ref="B5" authorId="0">
      <text>
        <r>
          <rPr>
            <b/>
            <sz val="9"/>
            <color indexed="81"/>
            <rFont val="Tahoma"/>
            <charset val="1"/>
          </rPr>
          <t>Auteur:</t>
        </r>
        <r>
          <rPr>
            <sz val="9"/>
            <color indexed="81"/>
            <rFont val="Tahoma"/>
            <charset val="1"/>
          </rPr>
          <t xml:space="preserve">
Persons who are earning more than $26,000 per year are charged a flat tax rate of 25%. Those who are employed and reside in Belize and whose total income per annum from all sources is less than $26,000 are exempt from Income Tax.</t>
        </r>
      </text>
    </comment>
    <comment ref="B11" authorId="0">
      <text>
        <r>
          <rPr>
            <b/>
            <sz val="9"/>
            <color indexed="81"/>
            <rFont val="Tahoma"/>
            <charset val="1"/>
          </rPr>
          <t>Auteur:</t>
        </r>
        <r>
          <rPr>
            <sz val="9"/>
            <color indexed="81"/>
            <rFont val="Tahoma"/>
            <charset val="1"/>
          </rPr>
          <t xml:space="preserve">
Taxed As Follows Tax Rate
First £25,001 20%
£25,001 - £353,000 29%
£353,001 - £704,800 20%
£704,801 - £1,000,000 10%</t>
        </r>
      </text>
    </comment>
  </commentList>
</comments>
</file>

<file path=xl/comments12.xml><?xml version="1.0" encoding="utf-8"?>
<comments xmlns="http://schemas.openxmlformats.org/spreadsheetml/2006/main">
  <authors>
    <author>Auteur</author>
  </authors>
  <commentList>
    <comment ref="E17" authorId="0">
      <text>
        <r>
          <rPr>
            <b/>
            <sz val="9"/>
            <color indexed="81"/>
            <rFont val="Tahoma"/>
            <family val="2"/>
          </rPr>
          <t>Auteur:</t>
        </r>
        <r>
          <rPr>
            <sz val="9"/>
            <color indexed="81"/>
            <rFont val="Tahoma"/>
            <family val="2"/>
          </rPr>
          <t xml:space="preserve">
Net wealth is multiplied by 4% to calculate the notional income from wealth, which is subject to income tax.</t>
        </r>
      </text>
    </comment>
    <comment ref="E26" authorId="0">
      <text>
        <r>
          <rPr>
            <b/>
            <sz val="9"/>
            <color indexed="81"/>
            <rFont val="Tahoma"/>
            <family val="2"/>
          </rPr>
          <t>Auteur:</t>
        </r>
        <r>
          <rPr>
            <sz val="9"/>
            <color indexed="81"/>
            <rFont val="Tahoma"/>
            <family val="2"/>
          </rPr>
          <t xml:space="preserve">
There is no federal tax, but the cantons levy net wealth7net worth tax.</t>
        </r>
      </text>
    </comment>
  </commentList>
</comments>
</file>

<file path=xl/sharedStrings.xml><?xml version="1.0" encoding="utf-8"?>
<sst xmlns="http://schemas.openxmlformats.org/spreadsheetml/2006/main" count="9401" uniqueCount="2093">
  <si>
    <t>Countries</t>
  </si>
  <si>
    <t>Bahamas</t>
  </si>
  <si>
    <t>Barbados</t>
  </si>
  <si>
    <t>Andorra</t>
  </si>
  <si>
    <t>EU Member?</t>
  </si>
  <si>
    <t>No</t>
  </si>
  <si>
    <t>Currency</t>
  </si>
  <si>
    <t>Bahamian Dollar (BSD)</t>
  </si>
  <si>
    <t>Barbados Dollar (B$)</t>
  </si>
  <si>
    <t>Euro (€)</t>
  </si>
  <si>
    <t>Corporation tax rate(s)</t>
  </si>
  <si>
    <t>Carry forward of ordinary tax losses?</t>
  </si>
  <si>
    <t>N/A - The Bahamas does not levy corporation tax</t>
  </si>
  <si>
    <t>Yes, 9 years</t>
  </si>
  <si>
    <t>Yes, 10 years</t>
  </si>
  <si>
    <t>Carry back of ordinary tax losses?</t>
  </si>
  <si>
    <t>Capital gains tax rate(s)</t>
  </si>
  <si>
    <t>Capital losses</t>
  </si>
  <si>
    <t>Not tax-deductible since capital gains are not taxable.</t>
  </si>
  <si>
    <t>Not tax-deductible since capital gains are not taxable</t>
  </si>
  <si>
    <t>VAT standard rate</t>
  </si>
  <si>
    <t>N/A - No VAT in The Bahamas. Proposed VAT system may apply from 1 July 2014 (standard rate of 15%)</t>
  </si>
  <si>
    <t>17.5%</t>
  </si>
  <si>
    <t>4.5%</t>
  </si>
  <si>
    <t>VAT reduced rate(s)</t>
  </si>
  <si>
    <t>N/A - No VAT in The Bahamas. Proposed VAT system may apply from 1 July 2014 (reduced rate of 0%)</t>
  </si>
  <si>
    <t>8.75% and 0%</t>
  </si>
  <si>
    <t>9.5%, 1% and 0%</t>
  </si>
  <si>
    <t>VAT registration threshhold</t>
  </si>
  <si>
    <t>N/A - No VAT in The Bahamas. Proposed VAT system may apply from 1 July 2014 (registration threshold of B$50,000)</t>
  </si>
  <si>
    <t>B$80,000</t>
  </si>
  <si>
    <t>VAT filing &amp; payment</t>
  </si>
  <si>
    <t>N/A - No VAT in The Bahamas. Proposed VAT system may apply from 1 July 2014 (monthly VAT filing and payment)</t>
  </si>
  <si>
    <t>Every 2 months</t>
  </si>
  <si>
    <t>Other taxes</t>
  </si>
  <si>
    <t>Real Property Tax on land and buildings at 0.5% - 1.5% depending on the asset value</t>
  </si>
  <si>
    <t>N/A</t>
  </si>
  <si>
    <t>Taxable period</t>
  </si>
  <si>
    <t>Accounting year</t>
  </si>
  <si>
    <t>Accounting period</t>
  </si>
  <si>
    <t>Tax return requirement</t>
  </si>
  <si>
    <t>Yes</t>
  </si>
  <si>
    <t>Tax return due date</t>
  </si>
  <si>
    <t>N/A - No requirement to file tax return</t>
  </si>
  <si>
    <t>15/03 or 15/06 depending on year-end</t>
  </si>
  <si>
    <t>7 months after the tax year end</t>
  </si>
  <si>
    <t>Tax residency requirements</t>
  </si>
  <si>
    <t>Management and control to be exercised in Barbados</t>
  </si>
  <si>
    <t>Incorporation in Andorra or central management and control to be exercised in Andorra</t>
  </si>
  <si>
    <t>Tax rate on dividends from local investments</t>
  </si>
  <si>
    <t>Exempt if the company owns at least 5% for a period of at least 1 year</t>
  </si>
  <si>
    <t>Tax rate on dividends from foreign investments</t>
  </si>
  <si>
    <t>0% if Barbados company holds more than 10% and shares not held as portfolio investment</t>
  </si>
  <si>
    <t>Withholding tax on dividend payments to foreign shareholders</t>
  </si>
  <si>
    <t>0%</t>
  </si>
  <si>
    <t>Tax rate on interest income</t>
  </si>
  <si>
    <t>Normal corporation tax rates apply</t>
  </si>
  <si>
    <t>Withholding tax on interest payments to foreign recipients</t>
  </si>
  <si>
    <t>Tax deductibility of interest expense</t>
  </si>
  <si>
    <t>Tax rate on royalty income</t>
  </si>
  <si>
    <t>Withholding tax on royalty payments to foreign recipients</t>
  </si>
  <si>
    <t>5%</t>
  </si>
  <si>
    <t>Tax deductibility of royalty expense</t>
  </si>
  <si>
    <t>Taxability of disposal of shares by foreign shareholder</t>
  </si>
  <si>
    <t>No, unless it holds Bahamian real estate</t>
  </si>
  <si>
    <t>Exempt for individual shareholders. Also exempt for corporate shareholders if participation exemption criteria are met</t>
  </si>
  <si>
    <t>Taxation of partnership profits</t>
  </si>
  <si>
    <t>Taxed in the hands of each partner</t>
  </si>
  <si>
    <t>Taxation of branch profits</t>
  </si>
  <si>
    <t>Taxed as a company i.e. 0%</t>
  </si>
  <si>
    <t>Taxed as a company</t>
  </si>
  <si>
    <t>Treated as a company</t>
  </si>
  <si>
    <t>Branch remittance tax</t>
  </si>
  <si>
    <t>Stamp duty</t>
  </si>
  <si>
    <t>Criteria</t>
  </si>
  <si>
    <t>IBCs and ISRLs at 0.25% - 2.5% ; Small Companies at 15% ; Regular Companies at 25%</t>
  </si>
  <si>
    <t>Depends on turnover: - Up to €250,000 - Semi-annually ; - €250,000 - €3,600,000 - Quarterly ; - Over €3,600,000 - Monthly</t>
  </si>
  <si>
    <t>0% for IBCs and ISRLs.  ; - 15% in all other cases.</t>
  </si>
  <si>
    <t>Belize</t>
  </si>
  <si>
    <t>Bermuda</t>
  </si>
  <si>
    <t>British Virgin Islands</t>
  </si>
  <si>
    <t>Belize Dollar (BZD)</t>
  </si>
  <si>
    <t>Bermudian Dollar (BMD)</t>
  </si>
  <si>
    <t>US Dollar (US$)</t>
  </si>
  <si>
    <t>0% (for IBCs)</t>
  </si>
  <si>
    <t>N/A - The Belize IBC is not subject to corporation tax</t>
  </si>
  <si>
    <t>N/A - Bermuda does not levy corporation tax</t>
  </si>
  <si>
    <t>N/A - The BVI does not levy corporation tax</t>
  </si>
  <si>
    <t>N/A - The Belize IBC is not subject to capital gains tax</t>
  </si>
  <si>
    <t>Not tax-deductible since capital losses are not taxable</t>
  </si>
  <si>
    <t>12.5%</t>
  </si>
  <si>
    <t>N/A - No VAT in Bermuda</t>
  </si>
  <si>
    <t>N/A - No VAT in the BVI</t>
  </si>
  <si>
    <t>BZD 75,000</t>
  </si>
  <si>
    <t>Monthly</t>
  </si>
  <si>
    <t>N/A - The Belize IBC is exempt from corporation tax</t>
  </si>
  <si>
    <t>No - The BVI does not levy corporation tax</t>
  </si>
  <si>
    <t>N/A - The Belize IBC is not required to file a tax return</t>
  </si>
  <si>
    <t>N/A - No requirement for tax return</t>
  </si>
  <si>
    <t>Incorporation in Bermuda</t>
  </si>
  <si>
    <t>Management and control to be exercised in the BVI</t>
  </si>
  <si>
    <t>No if the company does not own real estate in Bermuda</t>
  </si>
  <si>
    <t>N/A - Our analysis covers only Belize IBCs</t>
  </si>
  <si>
    <t>Treated as a company i.e. 0% tax</t>
  </si>
  <si>
    <t>N/A - The Belize IBC is not subject to stamp duty</t>
  </si>
  <si>
    <t>Cayman Islands</t>
  </si>
  <si>
    <t>Cyprus</t>
  </si>
  <si>
    <t>Egypt</t>
  </si>
  <si>
    <t>Cayman Islands Dollar (CI$)</t>
  </si>
  <si>
    <t>Egyptian Pound (EGP)</t>
  </si>
  <si>
    <t>N/A - The Cayman Islands do not levy corporation tax</t>
  </si>
  <si>
    <t>Yes, for 5 years</t>
  </si>
  <si>
    <t>Yes, 5 years</t>
  </si>
  <si>
    <t>Only for losses incurred in long-term projects may be carried back to offset profits from the same project for an unlimited number of years.</t>
  </si>
  <si>
    <t>20% (only on immovable property situated in Cyprus)</t>
  </si>
  <si>
    <t>Can be carried forward indefinitely</t>
  </si>
  <si>
    <t>N/A - No VAT in the Cayman Islands</t>
  </si>
  <si>
    <t>10% (25%-30%-45% for specific goods)</t>
  </si>
  <si>
    <t>9%, 5% and 0%</t>
  </si>
  <si>
    <t>0/5%</t>
  </si>
  <si>
    <t>Quarterly</t>
  </si>
  <si>
    <t>Real estate tax , Social Insurance , Contracting Social Insurance</t>
  </si>
  <si>
    <t>Calendar year (01/01 - 31/12)</t>
  </si>
  <si>
    <t>Financial year</t>
  </si>
  <si>
    <t>15 months after the end of tax year</t>
  </si>
  <si>
    <t>1 May of each year or 4 months after the end of the financial year</t>
  </si>
  <si>
    <t>Management and control to be exercised in Cyprus</t>
  </si>
  <si>
    <t>Effective management in Egypt</t>
  </si>
  <si>
    <t>5/10%</t>
  </si>
  <si>
    <t>0% (subject to easily met criteria)</t>
  </si>
  <si>
    <t>12.5% for active and 30% for passive interest income</t>
  </si>
  <si>
    <t>25/30%</t>
  </si>
  <si>
    <t>Yes - Maximum debt-to-equity ratio is 4:1 only related interest cosidered deductible expense</t>
  </si>
  <si>
    <t>12.5% (on 20% of royalty income)</t>
  </si>
  <si>
    <t>20%</t>
  </si>
  <si>
    <t>No, as long as the company does not own Cyprus real estate</t>
  </si>
  <si>
    <t>Treated as a company i.e. taxed at 12.5%</t>
  </si>
  <si>
    <t>Normal 22.5/27.5% ; - Oil prospecting and productions companies 40.55/45.55% ; - Special economic zones 10%</t>
  </si>
  <si>
    <t>Sale of securities 10/25/30% ; - Sale of other assets 25/30%</t>
  </si>
  <si>
    <t>From sale of securities: Yes, restricted to 3 years ; - From sale of other assets: Yes, restricted to 5 years</t>
  </si>
  <si>
    <t>1EGP for import and export ; - 54,000 EGP for services and manufacturing ; - 150,000 EGP for trading.</t>
  </si>
  <si>
    <t>10% if the right/asset is used in Cyprus. ; - 0% in all other cases.</t>
  </si>
  <si>
    <t>Gibraltar</t>
  </si>
  <si>
    <t>Guernsey</t>
  </si>
  <si>
    <t>Hong Kong</t>
  </si>
  <si>
    <t>Yes - as a dependent territory of the United Kingdom</t>
  </si>
  <si>
    <t>Pound Sterling (£)</t>
  </si>
  <si>
    <t>Hong Kong Dollar (HKD or HK$)</t>
  </si>
  <si>
    <t>0% except for banking business (10%) and income from immovable property situated in Guernsey (20%)</t>
  </si>
  <si>
    <t>16.5%</t>
  </si>
  <si>
    <t>Yes, indefinitely</t>
  </si>
  <si>
    <t>Not tax-deductible since capital gains ate not taxable</t>
  </si>
  <si>
    <t>N/A - No VAT in Gibraltar</t>
  </si>
  <si>
    <t>N/A - No VAT in Guernsey</t>
  </si>
  <si>
    <t>N/A - No VAT in Hong Kong</t>
  </si>
  <si>
    <t>Calendar year or any other 12-month period</t>
  </si>
  <si>
    <t>01/04 - 31/03 of the following year</t>
  </si>
  <si>
    <t>6 months after the tax year-end or 9 months if audited financial statements are needed</t>
  </si>
  <si>
    <t>30/11 of the following year</t>
  </si>
  <si>
    <t>End of April of following year</t>
  </si>
  <si>
    <t>Management and control to be exercised in Gibraltar</t>
  </si>
  <si>
    <t>Management and control to be exercised in Guernsey</t>
  </si>
  <si>
    <t>Management and control to be exercised in Hong Kong</t>
  </si>
  <si>
    <t>0% (except for banks)</t>
  </si>
  <si>
    <t>16.5% except from deposits in financial institutions in Hong Kong (0%)</t>
  </si>
  <si>
    <t>16.5% but reduced rates may apply for certain types</t>
  </si>
  <si>
    <t>No as long as the company does not own Gibraltar real estate</t>
  </si>
  <si>
    <t>Yes, only stamp duty up to 4.25%</t>
  </si>
  <si>
    <t>Treated as a company i.e. 10% tax</t>
  </si>
  <si>
    <t>Treated as a company (0%, 10% or 20%)</t>
  </si>
  <si>
    <t>16.5% on royalties to affiliated companies ; - 4.95% in all other cases</t>
  </si>
  <si>
    <t>Ireland</t>
  </si>
  <si>
    <t>Isle of Man</t>
  </si>
  <si>
    <t>Jersey</t>
  </si>
  <si>
    <t>12.5% for trading and 25% for non-trading profits</t>
  </si>
  <si>
    <t>0% except from licensed banks deposit-taking activities and income from immovable property (10%)</t>
  </si>
  <si>
    <t>0% except for financial services companies (10%), utility companies (20%) and income from immovable property (20%)</t>
  </si>
  <si>
    <t>Yes, 1 year</t>
  </si>
  <si>
    <t>30% or 0% if participation exemption applies</t>
  </si>
  <si>
    <t>Can be set-off against taxable capital gains of same year or carried forward</t>
  </si>
  <si>
    <t>13.5%, 9%, 4.8% and 0%</t>
  </si>
  <si>
    <t>5% and 0%</t>
  </si>
  <si>
    <t>€37,500 or €75,000</t>
  </si>
  <si>
    <t>£73,000</t>
  </si>
  <si>
    <t>£300,000</t>
  </si>
  <si>
    <t>9 months after the tax year-end</t>
  </si>
  <si>
    <t>12 months after the tax year-end</t>
  </si>
  <si>
    <t>7 months after the tax year-end i.e. 31/07</t>
  </si>
  <si>
    <t>Central management and control to be exercised in Ireland</t>
  </si>
  <si>
    <t>Management and control to be exercised in Isle of Man</t>
  </si>
  <si>
    <t>Management and control to be exercised in Jersey</t>
  </si>
  <si>
    <t>0% or surcharge of 20% for close companies if dividend income is not redistributed within 18 months</t>
  </si>
  <si>
    <t>12.5% or 25%</t>
  </si>
  <si>
    <t>0% except for licensed banks (10%)</t>
  </si>
  <si>
    <t>Yes where applicable</t>
  </si>
  <si>
    <t>If the company does not own Irish land, buildings, mineral rights and exploration rights in the Irish continental shelf then only stamp duty of 1%</t>
  </si>
  <si>
    <t>20% for patent royalties ; - 0% in all other cases</t>
  </si>
  <si>
    <t>Liechtenstein</t>
  </si>
  <si>
    <t>Luxembourg</t>
  </si>
  <si>
    <t>Lithuania</t>
  </si>
  <si>
    <t>Swiss Franc (CHF)</t>
  </si>
  <si>
    <t>Effective 28.15% or 29.22% (i.e. including Surcharge and Municipal Business Tax)</t>
  </si>
  <si>
    <t>Yes, indefinitely but only 70% can be utilized each year</t>
  </si>
  <si>
    <t>12.5% except for domestic real estate (2% - 14% depending on the amount of the gain)</t>
  </si>
  <si>
    <t>0% on disposal of shares in qualifying participations, otherwise effective 27.75% or 28.80% (to be increased to 28.15% and 29.22% from 1 January 2013)</t>
  </si>
  <si>
    <t>No specific rule in the legislation</t>
  </si>
  <si>
    <t>Treated as ordinary losses</t>
  </si>
  <si>
    <t>3.8% and 2.5%</t>
  </si>
  <si>
    <t>12%, 6% and 3%</t>
  </si>
  <si>
    <t>9%/5%/0%</t>
  </si>
  <si>
    <t>CHF 100,000</t>
  </si>
  <si>
    <t>€10,000 (to be increased to €25,000 from 1 January 2013)</t>
  </si>
  <si>
    <t>Monthly or quarterly</t>
  </si>
  <si>
    <t>Calendar or accounting year</t>
  </si>
  <si>
    <t>12 month period</t>
  </si>
  <si>
    <t>01/07 of the following year</t>
  </si>
  <si>
    <t>31/05 of the following tax year</t>
  </si>
  <si>
    <t>15th day of sixth month of the following tax year</t>
  </si>
  <si>
    <t>Legal seat or effective place of business in Liechtenstein</t>
  </si>
  <si>
    <t>Legal seat or place of central management in Luxembourg</t>
  </si>
  <si>
    <t>Incorporated in Lithuania or if the activities create a PE in Lithuania</t>
  </si>
  <si>
    <t>0% if from qualifying participation, otherwise effective 28.15% or 29.22%</t>
  </si>
  <si>
    <t>15%/0%</t>
  </si>
  <si>
    <t>0% or 15%</t>
  </si>
  <si>
    <t>Effective 28.15% or 29.22%</t>
  </si>
  <si>
    <t>10%/15%</t>
  </si>
  <si>
    <t>Yes if incurred for the production of taxable income</t>
  </si>
  <si>
    <t>Municipal tax at 6% - 12% ; - Employment Fund Surcharge at 5% on tax liability (to increase to 7% from 01/01/2013) ; - Net Wealth Tax at 0.5% (qualifying participation are exempt)</t>
  </si>
  <si>
    <t>Immovable property tax ;  Land tax ; Environmental pollution tax</t>
  </si>
  <si>
    <t>Malta</t>
  </si>
  <si>
    <t>Mauritius</t>
  </si>
  <si>
    <t>Netherlands</t>
  </si>
  <si>
    <t>Mauritian Rupee (MUR)</t>
  </si>
  <si>
    <t>35% but due to imputation system the effective tax is 0% - 10%</t>
  </si>
  <si>
    <t>0% for participation holdings or effectively 0% - 5%</t>
  </si>
  <si>
    <t>Can be set-off against other taxable income except from capital losses on qualifying participations</t>
  </si>
  <si>
    <t>7% and 5%</t>
  </si>
  <si>
    <t>6% and 0%</t>
  </si>
  <si>
    <t>MUR 2,000,000</t>
  </si>
  <si>
    <t>No threshold</t>
  </si>
  <si>
    <t>Every 1 or 4 months</t>
  </si>
  <si>
    <t>Monthly, quarterly or annually</t>
  </si>
  <si>
    <t>31/09 of the following year</t>
  </si>
  <si>
    <t>6 months after the tax year-end</t>
  </si>
  <si>
    <t>5 months after the tax year-end</t>
  </si>
  <si>
    <t>Management and control to be exercised in Malta</t>
  </si>
  <si>
    <t>Management and control to be exercised in the Mauritius</t>
  </si>
  <si>
    <t>Management and control to be exercised in Netherlands</t>
  </si>
  <si>
    <t>0% if under participation exemption or 35% (effectively 0% - 10%)</t>
  </si>
  <si>
    <t>0% if from qualifying participation or 20%/25%</t>
  </si>
  <si>
    <t>0% if under participation exemption or 35% (effectively 5% - 10%)</t>
  </si>
  <si>
    <t>0% for passive and 35% (effectively 0% - 10%) for active interest income</t>
  </si>
  <si>
    <t>20% or 25%</t>
  </si>
  <si>
    <t>0% for passive and 35% (effectively 0% - 10%) for active royalty income</t>
  </si>
  <si>
    <t>No if the company does not hold Maltese real estate or if its foreign shareholder company is not controlled by Maltese residents</t>
  </si>
  <si>
    <t>No if it satisfies the participation exemption criteria</t>
  </si>
  <si>
    <t>Taxed in the hands of each partner except Limited Partnerships which are treated as companies</t>
  </si>
  <si>
    <t>GBC1 companies at 15% ; - GBC2 companies at 0% ; - Other companies at 15% (Alternative Minimum Tax may apply)</t>
  </si>
  <si>
    <t>Taxable profits up to €200,000 at 20% ; - Taxable profits over €200,000 at 25%</t>
  </si>
  <si>
    <t>Gains on disposal of qualifying participations are  exempt ; - Other gains at 20% or 25%</t>
  </si>
  <si>
    <t>GBC1 companies - 3% ; - Other companies - 15% (or Alternative Minimum Tax)</t>
  </si>
  <si>
    <t>GBC1 companies - 3% ; - Other company types - 15% (or Alternative Minimum Tax)</t>
  </si>
  <si>
    <t>GBC1 companies - 0% ; - Other companies - 15%</t>
  </si>
  <si>
    <t>GBC1 companies - 3% ;  - Other company types - 15% (or Alternative Minimum Tax)</t>
  </si>
  <si>
    <t>Panama</t>
  </si>
  <si>
    <t>Seychelles</t>
  </si>
  <si>
    <t>Singapore</t>
  </si>
  <si>
    <t>Balboa (PAB), US Dollar (US$)</t>
  </si>
  <si>
    <t>Seychelles Rupee (SCR)</t>
  </si>
  <si>
    <t>Singapore Dollar (SGD)</t>
  </si>
  <si>
    <t>25% but for companies over taxable revenues of US$1.5m an alternative tax may apply</t>
  </si>
  <si>
    <t>17% but 75% of the first SGD 10,000 and 75% of the next SGD 290,000 are exempt</t>
  </si>
  <si>
    <t>Yes, 5 years (subject to restrictions)</t>
  </si>
  <si>
    <t>Yes, 1 year (subject to a cap of SGD 100,000)</t>
  </si>
  <si>
    <t>10% plus 3% withholding tax (5% withholding tax for securities)</t>
  </si>
  <si>
    <t>Not deductible from capital gains</t>
  </si>
  <si>
    <t>US$36,000</t>
  </si>
  <si>
    <t>SCR 2,000,000</t>
  </si>
  <si>
    <t>SGD 1,000,000</t>
  </si>
  <si>
    <t>3 months from tax year-end</t>
  </si>
  <si>
    <t>31/03 of the following year</t>
  </si>
  <si>
    <t>Principal business to be carried in Panama</t>
  </si>
  <si>
    <t>Management and control to be exercised in Seychelles or voting power to be exercised by shareholders resident in Seychelles</t>
  </si>
  <si>
    <t>Management and control to be exercised in Singapore</t>
  </si>
  <si>
    <t>15%</t>
  </si>
  <si>
    <t>0% if the foreign tax burden is at least 15% and the tax has been paid. Otherwise corporation tax rates apply</t>
  </si>
  <si>
    <t>15% (0% for IBCs and CSLs)</t>
  </si>
  <si>
    <t>25% (only on Panama-source interest)</t>
  </si>
  <si>
    <t>10% (business tax)</t>
  </si>
  <si>
    <t>10% (0% for IBCs and CSLs)</t>
  </si>
  <si>
    <t>Yes if incurred for the production of Panama-source income</t>
  </si>
  <si>
    <t>25% (only on Panama-source royalties)</t>
  </si>
  <si>
    <t>Taxed under corporation tax</t>
  </si>
  <si>
    <t>12.5% (if the royalty expense is claimed as tax-deductible)</t>
  </si>
  <si>
    <t>Yes, 10% on capital gains and 5% withholding tax</t>
  </si>
  <si>
    <t>Partnership taxed as individual</t>
  </si>
  <si>
    <t>IBCs at 0% ; - CSLs at 1.5% ; - Other companies (business tax) at 25% on first SCR 1,000,000 and 30% on remainder except for some financial institutions, telecom companies, alcohol producers, etc at 33%</t>
  </si>
  <si>
    <t>Notice of Operations Tax at 2% (1% for companies in free zones or special trade zones) on equity with a minimum liability of US$100 and maximum US$60,000 (US$50,000 for companies in free zones and special trade zones) ; - Transfer tax on Panama real estate at 2% ; - Real Property Tax on Panama real estate at 1.75% - 2.1%</t>
  </si>
  <si>
    <t>0% if dividends are declared ; - 4% if no dividends are declared</t>
  </si>
  <si>
    <t>10% if paid from Panama-source income ; - 5% if paid from non Panama-source income or income from exports ; - 20% in case of bearer shares</t>
  </si>
  <si>
    <t>Dubai</t>
  </si>
  <si>
    <t>Ras Al Khaimah</t>
  </si>
  <si>
    <t>Switzerland</t>
  </si>
  <si>
    <t>UAE Dirham (AED)</t>
  </si>
  <si>
    <t>N/A - No tax for Dubai DIFC companies</t>
  </si>
  <si>
    <t>N/A - Ras Al Khaimah does not levy corporation tax</t>
  </si>
  <si>
    <t>Yes, 7 years</t>
  </si>
  <si>
    <t>N/A - Ras Al Khaimah does not levy capital gains tax</t>
  </si>
  <si>
    <t>Corporation tax rates apply except for qualifying participations which are exempt</t>
  </si>
  <si>
    <t>Can be set-off against taxable profits</t>
  </si>
  <si>
    <t>N/A - No VAT in Dubai</t>
  </si>
  <si>
    <t>N/A - Ras Al Khaimah does not levy VAT</t>
  </si>
  <si>
    <t>3.8%, 2.5% and 0%</t>
  </si>
  <si>
    <t>Corporate net wealth tax at 0.001% - 0.5288%</t>
  </si>
  <si>
    <t>N/A - no tax for Dubai DIFC companies</t>
  </si>
  <si>
    <t>Usually 30/09 but depends on the Canton</t>
  </si>
  <si>
    <t>Registered in Dubai DIFC and management and control exercised in Dubai</t>
  </si>
  <si>
    <t>Effective place of business to be in Switzerland</t>
  </si>
  <si>
    <t>Exempt if received from qualifying participation, otherwise corporation tax rates apply</t>
  </si>
  <si>
    <t>Corporation tax rates apply</t>
  </si>
  <si>
    <t>35% if derived from deposits with Swiss banks, bonds or bond-like loans, otherwise 0%</t>
  </si>
  <si>
    <t>No for individuals and companies that satisfy the participation exemption criteria</t>
  </si>
  <si>
    <t>Companies under Holding Companies regime at effective 7.83% ; - Other companies at 11.5% - 24.2% (combined Federal, Cantonal and Municipal taxes)</t>
  </si>
  <si>
    <t>Bahamas IBC</t>
  </si>
  <si>
    <t>Andorra Private Limited Company</t>
  </si>
  <si>
    <t>Andorra Private Anonymous Company</t>
  </si>
  <si>
    <t>Liability of shareholders</t>
  </si>
  <si>
    <t>Limited</t>
  </si>
  <si>
    <t>Minimum number of shareholders</t>
  </si>
  <si>
    <t>Maximum number of shareholders</t>
  </si>
  <si>
    <t>Unlimited</t>
  </si>
  <si>
    <t>Restriction on nationality/residency of shareholders?</t>
  </si>
  <si>
    <t>None</t>
  </si>
  <si>
    <t>Corporate shareholders allowed?</t>
  </si>
  <si>
    <t>Minimum number of directors</t>
  </si>
  <si>
    <t>Restriction on nationality/residency of directors?</t>
  </si>
  <si>
    <t>Local director requirement?</t>
  </si>
  <si>
    <t>Corporate directors allowed?</t>
  </si>
  <si>
    <t>Shareholders' meeting requirement?</t>
  </si>
  <si>
    <t>Shareholders' meetings location</t>
  </si>
  <si>
    <t>Anywhere</t>
  </si>
  <si>
    <t>Minimum capital requirement</t>
  </si>
  <si>
    <t>B$1</t>
  </si>
  <si>
    <t>Can the capital be denominated in foreign currency?</t>
  </si>
  <si>
    <t>Non-par value shares allowed?</t>
  </si>
  <si>
    <t>Bearer shares allowed?</t>
  </si>
  <si>
    <t>Yes but IBC is exempt</t>
  </si>
  <si>
    <t>Registered office needs to be in the country?</t>
  </si>
  <si>
    <t>Company secretary/registered agent requirement?</t>
  </si>
  <si>
    <t>Restrictions to foreign investors?</t>
  </si>
  <si>
    <t>Time needed for registration</t>
  </si>
  <si>
    <t>2 - 5 days</t>
  </si>
  <si>
    <t>50 days</t>
  </si>
  <si>
    <t>Shelf companies available?</t>
  </si>
  <si>
    <t>Publicly accessible records of directors?</t>
  </si>
  <si>
    <t>Publicly accessible records of shareholders?</t>
  </si>
  <si>
    <t>Publicly accessible financial statements?</t>
  </si>
  <si>
    <t>Beneficial ownership disclosure?</t>
  </si>
  <si>
    <t>Yes, to service provider</t>
  </si>
  <si>
    <t>Yes, to service providers and authorities</t>
  </si>
  <si>
    <t>Yes, to the service provider and the authorities</t>
  </si>
  <si>
    <t>Nominee shareholder allowed?</t>
  </si>
  <si>
    <t>Annual return requirement?</t>
  </si>
  <si>
    <t>Tax return requirement?</t>
  </si>
  <si>
    <t>Requirement to maintain accounting records?</t>
  </si>
  <si>
    <t>Foreign currency accounting allowed?</t>
  </si>
  <si>
    <t>Accounting records can be held outside the country?</t>
  </si>
  <si>
    <t>Financial statements requirement?</t>
  </si>
  <si>
    <t>Financial statements filing requirement?</t>
  </si>
  <si>
    <t>Accounting principles for financial statements</t>
  </si>
  <si>
    <t>IFRS</t>
  </si>
  <si>
    <t>Andorran accounting laws</t>
  </si>
  <si>
    <t>Consolidated financial statements requirement?</t>
  </si>
  <si>
    <t>Exemption to consolidated financial statements requirement?</t>
  </si>
  <si>
    <t>Audit requirement?</t>
  </si>
  <si>
    <t>Exemptions to audit requirement?</t>
  </si>
  <si>
    <t>N/A - no audit requirement</t>
  </si>
  <si>
    <t>Companies</t>
  </si>
  <si>
    <t>Barbados IBC</t>
  </si>
  <si>
    <t>Barbados ISRL</t>
  </si>
  <si>
    <t>Belize IBC</t>
  </si>
  <si>
    <t>Yes, local or Caricom resident shareholders restricted to less than 10%</t>
  </si>
  <si>
    <t>Yes, corporate directors need to be Registered Barbados Companies</t>
  </si>
  <si>
    <t>Yes if corporate directors</t>
  </si>
  <si>
    <t>Yes but need to be registered in Barbados</t>
  </si>
  <si>
    <t>US$1</t>
  </si>
  <si>
    <t>N/A - ISRLs issue quotas rather than shares</t>
  </si>
  <si>
    <t>5 - 10 days</t>
  </si>
  <si>
    <t>24 hours</t>
  </si>
  <si>
    <t>Yes, to Authorities</t>
  </si>
  <si>
    <t>N/A - no financial statements required</t>
  </si>
  <si>
    <t>N/A - no requirement for consolidated financial statements</t>
  </si>
  <si>
    <t>Yes but exemption available</t>
  </si>
  <si>
    <t>Yes. Audit is required only if assets or gross revenue exceed US$500,000</t>
  </si>
  <si>
    <t>Bermuda Exempt Company</t>
  </si>
  <si>
    <t>BVI IBC</t>
  </si>
  <si>
    <t>Cayman Exempted Company</t>
  </si>
  <si>
    <t>No, but a quorum should be formed in Bermuda</t>
  </si>
  <si>
    <t>Yes, a quorum should be formed in Bermuda</t>
  </si>
  <si>
    <t>Yes but can be waived</t>
  </si>
  <si>
    <t>CI$1</t>
  </si>
  <si>
    <t>Yes, CI$50</t>
  </si>
  <si>
    <t>10 - 15 days</t>
  </si>
  <si>
    <t>1 - 2 days</t>
  </si>
  <si>
    <t>3 - 4 days</t>
  </si>
  <si>
    <t>Yes, to service provide and Authorities</t>
  </si>
  <si>
    <t>Yes - need to maintain accounts</t>
  </si>
  <si>
    <t>N/A - no requirement for financial statements</t>
  </si>
  <si>
    <t>Yes, audit can be waived</t>
  </si>
  <si>
    <t>Cayman Exempted Limited Duration Company</t>
  </si>
  <si>
    <t>Cayman Ordinary Non-Resident Company</t>
  </si>
  <si>
    <t>Cyprus Private Company</t>
  </si>
  <si>
    <t>N/A - no requirement for shareholder meeting</t>
  </si>
  <si>
    <t>Yes, starting from €103 depending on capital structure</t>
  </si>
  <si>
    <t>7 - 10 days</t>
  </si>
  <si>
    <t>Cyprus Public Company</t>
  </si>
  <si>
    <t>Gibraltar Non-Resident Company</t>
  </si>
  <si>
    <t>Egypt Limited Liability Company (LLC)</t>
  </si>
  <si>
    <t>Yes, cannot be residents of Gibraltar</t>
  </si>
  <si>
    <t>Yes at least 1</t>
  </si>
  <si>
    <t>Anywhere except Gibraltar</t>
  </si>
  <si>
    <t>GBP£1</t>
  </si>
  <si>
    <t>EGP 250,000</t>
  </si>
  <si>
    <t>Yes, USD only</t>
  </si>
  <si>
    <t>Yes, GBP£10</t>
  </si>
  <si>
    <t>8 days</t>
  </si>
  <si>
    <t>Yes, to service provider and Authorities</t>
  </si>
  <si>
    <t>Yes, in USD only</t>
  </si>
  <si>
    <t>Egyptian GAAP</t>
  </si>
  <si>
    <t>Guernsey Limited Company</t>
  </si>
  <si>
    <t>Hong Kong Private Company</t>
  </si>
  <si>
    <t>Hong Kong Public Company</t>
  </si>
  <si>
    <t>Yes - provided that at least 1 director is natural person</t>
  </si>
  <si>
    <t>Currently yes but under new Companies Ordinance at least 1 director should be natural person</t>
  </si>
  <si>
    <t>Yes but can be dispensed</t>
  </si>
  <si>
    <t>HK$1</t>
  </si>
  <si>
    <t>Yes - only non-par value shares are allowed</t>
  </si>
  <si>
    <t>2 - 24 hours</t>
  </si>
  <si>
    <t>4 - 7 days</t>
  </si>
  <si>
    <t>No, due to speedy registration</t>
  </si>
  <si>
    <t>UK GAAP, IAS or IFRS</t>
  </si>
  <si>
    <t>Hong Kong Financial Reporting Standards (in line with IFRS)</t>
  </si>
  <si>
    <t>Yes - if dormant company</t>
  </si>
  <si>
    <t>Ireland Private Company</t>
  </si>
  <si>
    <t>Ireland Public Company</t>
  </si>
  <si>
    <t>Isle of Man Private Company (Act 1931)</t>
  </si>
  <si>
    <t>Yes, at least 1 director should be an individual resident in an EEA Member State</t>
  </si>
  <si>
    <t>Yes, at least 1 EEA-resident</t>
  </si>
  <si>
    <t>Yes, if more than 1 shareholder</t>
  </si>
  <si>
    <t>€38,092 (25% should be fully paid-up)</t>
  </si>
  <si>
    <t>Yes, GBP£17 per GBP£1,000 of capital above GBP£2,000 with a maximum duty of GBP£5,000</t>
  </si>
  <si>
    <t>1 - 5 days</t>
  </si>
  <si>
    <t>Yes, but difficult to find due to high minimum capital requirement</t>
  </si>
  <si>
    <t>Isle of Man Limited Company (Act 2006)</t>
  </si>
  <si>
    <t>Isle of Man Public Company (Act 1931)</t>
  </si>
  <si>
    <t>Jersey Private Company</t>
  </si>
  <si>
    <t>Yes, but should hold fiduciary license</t>
  </si>
  <si>
    <t>Yes, under conditions</t>
  </si>
  <si>
    <t>2 hours - 2 days</t>
  </si>
  <si>
    <t>No, due to beneficial ownership disclosure</t>
  </si>
  <si>
    <t>Jersey Public Company</t>
  </si>
  <si>
    <t>Liechtenstein Stock Company (AG)</t>
  </si>
  <si>
    <t>Lithuania Private Limited Company</t>
  </si>
  <si>
    <t>At least 1 director should be individual, resident in Liechtenstein and qualified to act</t>
  </si>
  <si>
    <t>Yes, at least 1 director should be local</t>
  </si>
  <si>
    <t>CHF 50,000</t>
  </si>
  <si>
    <t>Yes, in € and US$</t>
  </si>
  <si>
    <t>Yes, 1% on contributions over CHF1million</t>
  </si>
  <si>
    <t>3 - 5 days</t>
  </si>
  <si>
    <t>3 days</t>
  </si>
  <si>
    <t>Yes, but rare due to high minimum requirement</t>
  </si>
  <si>
    <t>Luxembourg Private Company</t>
  </si>
  <si>
    <t>Luxembourg Public Company (SA)</t>
  </si>
  <si>
    <t>Malta Private Company</t>
  </si>
  <si>
    <t>1 if the company director is a natural person or 2 if the director is corporate body</t>
  </si>
  <si>
    <t>3, but if single shareholder company then 1</t>
  </si>
  <si>
    <t>Yes, if more than 1 directors</t>
  </si>
  <si>
    <t>Yes if more than 25 shareholders</t>
  </si>
  <si>
    <t>Yes, for holding Maltese real estate</t>
  </si>
  <si>
    <t>2 - 3 days</t>
  </si>
  <si>
    <t>2 - 4 days</t>
  </si>
  <si>
    <t>IFRS or Luxembourg GAAP</t>
  </si>
  <si>
    <t>Yes (but still need an audit for tax return purposes)</t>
  </si>
  <si>
    <t>Malta Public Company</t>
  </si>
  <si>
    <t>Mauritius GBC1 Company</t>
  </si>
  <si>
    <t>Mauritius GBC2 Company</t>
  </si>
  <si>
    <t>Should not be resident of Mauritius</t>
  </si>
  <si>
    <t>Majority of Mauritius resident directors is needed to obtain GBC1 license</t>
  </si>
  <si>
    <t>Yes, except MURs</t>
  </si>
  <si>
    <t>15 - 20 days</t>
  </si>
  <si>
    <t>Yes but difficult to find due to high minimum capital requirement</t>
  </si>
  <si>
    <t>No, only financial summary</t>
  </si>
  <si>
    <t>Netherlands BV Company (Dutch BV)</t>
  </si>
  <si>
    <t>Panama Corporation</t>
  </si>
  <si>
    <t>Seychelles IBC</t>
  </si>
  <si>
    <t>€18,000 ���</t>
  </si>
  <si>
    <t>4 - 8 weeks</t>
  </si>
  <si>
    <t>No, due to the high minimum capital requirement</t>
  </si>
  <si>
    <t>Yes if 1 shareholder only</t>
  </si>
  <si>
    <t>Seychelles CSL</t>
  </si>
  <si>
    <t>Singapore Private Exempt Company</t>
  </si>
  <si>
    <t>Singapore Private Company</t>
  </si>
  <si>
    <t>At least 1 director should be an individual resident in Singapore</t>
  </si>
  <si>
    <t>Yes, but can be waived</t>
  </si>
  <si>
    <t>S$1</t>
  </si>
  <si>
    <t>Yes, except SCR</t>
  </si>
  <si>
    <t>10 days</t>
  </si>
  <si>
    <t>No (but filed with the Authorities)</t>
  </si>
  <si>
    <t>Yes, to service provider and Authorities.</t>
  </si>
  <si>
    <t>Yes but by law the shareholder would be treated as the real shareholder and beneficial owner</t>
  </si>
  <si>
    <t>GAAP</t>
  </si>
  <si>
    <t>Singapore Public Company</t>
  </si>
  <si>
    <t>Swiss Limited Company (Sarl / GmbH)</t>
  </si>
  <si>
    <t>Swiss Stock Corporation (AG / SA)</t>
  </si>
  <si>
    <t>Majority of Swiss resident directors</t>
  </si>
  <si>
    <t>CHF 20,000</t>
  </si>
  <si>
    <t>10 - 20 days</t>
  </si>
  <si>
    <t>Yes but not easily found due to high cost</t>
  </si>
  <si>
    <t>Swiss GAAP</t>
  </si>
  <si>
    <t>Dubai (DIFC) LTD Company</t>
  </si>
  <si>
    <t>Dubai (DIFC) LLC Company</t>
  </si>
  <si>
    <t>RAK Offshore IBC</t>
  </si>
  <si>
    <t>Dubai DIFC</t>
  </si>
  <si>
    <t>N/A - no requirement for shareholder meetings</t>
  </si>
  <si>
    <t>Yes (within UAE)</t>
  </si>
  <si>
    <t>4 - 6 weeks</t>
  </si>
  <si>
    <t>Discussed with local registered agent</t>
  </si>
  <si>
    <t>Bahamas Non-Resident Trust</t>
  </si>
  <si>
    <t>Barbados International Trust</t>
  </si>
  <si>
    <t>Belize International Trust</t>
  </si>
  <si>
    <t>Registration requirement</t>
  </si>
  <si>
    <t>Settlor residency requirement</t>
  </si>
  <si>
    <t>Yes, should not be a permanent resident of the Bahamas</t>
  </si>
  <si>
    <t>Yes, should not be a permanent resident of Barbados</t>
  </si>
  <si>
    <t>Yes, should not be a permanent resident of Belize. Persons resident under the Belize Retirement Program can be settlors.</t>
  </si>
  <si>
    <t>Beneficiary residency requirement</t>
  </si>
  <si>
    <t>Yes, should not be a permanent resident of Belize. Persons resident under the Belize Retirement Program can be beneficiaries.</t>
  </si>
  <si>
    <t>Trustee residency requirement</t>
  </si>
  <si>
    <t>Yes, at least 1</t>
  </si>
  <si>
    <t>No, but a Belize resident and licensed Trust Agent is required.</t>
  </si>
  <si>
    <t>Should the trustee be licensed</t>
  </si>
  <si>
    <t>Yes, if a corporate trustee</t>
  </si>
  <si>
    <t>Protector allowed</t>
  </si>
  <si>
    <t>Protector requirement</t>
  </si>
  <si>
    <t>Perpetuity period</t>
  </si>
  <si>
    <t>150 years</t>
  </si>
  <si>
    <t>100 years</t>
  </si>
  <si>
    <t>120 years</t>
  </si>
  <si>
    <t>Restriction on trust property</t>
  </si>
  <si>
    <t>Yes, should not include Bahamian real estate or shares in a company owning Bahamian real estate</t>
  </si>
  <si>
    <t>Yes, should not include Barbados real estate</t>
  </si>
  <si>
    <t>Yes, should not include Belize real estate or shares in a company owning Belize real estate</t>
  </si>
  <si>
    <t>Taxation</t>
  </si>
  <si>
    <t>Exempt</t>
  </si>
  <si>
    <t>Confidentiality</t>
  </si>
  <si>
    <t>No information is disclosed to any person</t>
  </si>
  <si>
    <t>Names of Settlor and Beneficiaries are not publicly available</t>
  </si>
  <si>
    <t>The names of the Settlor(s) and the Beneficiary(ies) are not reported and the Register of Trusts is not open for public inspection.</t>
  </si>
  <si>
    <t>Asset protection</t>
  </si>
  <si>
    <t>Reporting requirement</t>
  </si>
  <si>
    <t>Bermuda Trust</t>
  </si>
  <si>
    <t>BVI Trust</t>
  </si>
  <si>
    <t>Cayman Ordinary Trust</t>
  </si>
  <si>
    <t>360 years</t>
  </si>
  <si>
    <t>N/A - no specific legislation for asset protection</t>
  </si>
  <si>
    <t>Cyprus International Trust</t>
  </si>
  <si>
    <t>Gibraltar Trust</t>
  </si>
  <si>
    <t>Guernsey Trust</t>
  </si>
  <si>
    <t>No, registration is optional</t>
  </si>
  <si>
    <t>Yes, but may not be a Cyprus permanent resident in the year preceding the year of creation</t>
  </si>
  <si>
    <t>No maximum duration</t>
  </si>
  <si>
    <t>Exempt, except for income generated in Cyprus</t>
  </si>
  <si>
    <t>The names of Settlor and Beneficiaries are not disclosed to Authorities</t>
  </si>
  <si>
    <t>Yes if the Trust is registered</t>
  </si>
  <si>
    <t>Hong Kong Foreign Trust</t>
  </si>
  <si>
    <t>Isle of Man Trust</t>
  </si>
  <si>
    <t>Jersey International Trust</t>
  </si>
  <si>
    <t>80 years</t>
  </si>
  <si>
    <t>Yes, should not include Jersey real estate or shares in a company owning Jersey real estate</t>
  </si>
  <si>
    <t>Liechtenstein Trust</t>
  </si>
  <si>
    <t>Malta Trust</t>
  </si>
  <si>
    <t>Mauritius Non-Resident Trust</t>
  </si>
  <si>
    <t>Yes, should not be a permanent resident of the Mauritius</t>
  </si>
  <si>
    <t>99 years</t>
  </si>
  <si>
    <t>Yes, should not include Maltese real estate or shares in a company owning Maltese real estate</t>
  </si>
  <si>
    <t>Panama Trust</t>
  </si>
  <si>
    <t>Seychelles International Trust</t>
  </si>
  <si>
    <t>Singapore Foreign Trust</t>
  </si>
  <si>
    <t>No, unless it owns Panama real estate</t>
  </si>
  <si>
    <t>Yes, should not be a permanent resident of Singapore</t>
  </si>
  <si>
    <t>Yes, should not include Seychelles real estate or shares in a company owning Seychelles real estate</t>
  </si>
  <si>
    <t>Yes, annual declaration of compliance with exemption criteria</t>
  </si>
  <si>
    <t>0% for IBCs, ISRLs. ; - 0% for other companies if paid from foreign-source income. ; - 15% in all other cases.</t>
  </si>
  <si>
    <t>Capital duty on issurance of shares</t>
  </si>
  <si>
    <t>Country</t>
  </si>
  <si>
    <t>Andorra Double Tax Treaties</t>
  </si>
  <si>
    <t>Status</t>
  </si>
  <si>
    <t>Latest Developments</t>
  </si>
  <si>
    <t>France</t>
  </si>
  <si>
    <t>In-force</t>
  </si>
  <si>
    <t>Andorra - France: treaty effective from 01.01.2016</t>
  </si>
  <si>
    <t>Germany</t>
  </si>
  <si>
    <t>Pending</t>
  </si>
  <si>
    <t>Andorra - Liechtenstein: tax treaty signed on 30.09.2015</t>
  </si>
  <si>
    <t>Luxembourg - Andorra: treaty signed on 02.06.2014</t>
  </si>
  <si>
    <t>Andorra - Malta: treaty signed on 16.12.2015</t>
  </si>
  <si>
    <t>Portugal</t>
  </si>
  <si>
    <t>Spain</t>
  </si>
  <si>
    <t>Andorra - Spain: treaty signed on 08.01.2015</t>
  </si>
  <si>
    <t>United Arab Emirates</t>
  </si>
  <si>
    <t>UAE - Andorra: tax treaty signed on 28.07.2015</t>
  </si>
  <si>
    <t>Andorra Tax Information Exchange Agreements</t>
  </si>
  <si>
    <t>Argentina</t>
  </si>
  <si>
    <t>Australia</t>
  </si>
  <si>
    <t>Austria</t>
  </si>
  <si>
    <t>Belgium</t>
  </si>
  <si>
    <t>Czech Republic</t>
  </si>
  <si>
    <t>Denmark</t>
  </si>
  <si>
    <t>Faroe Islands</t>
  </si>
  <si>
    <t>Finland</t>
  </si>
  <si>
    <t>Greenland</t>
  </si>
  <si>
    <t>Iceland</t>
  </si>
  <si>
    <t>Italy</t>
  </si>
  <si>
    <t>Andorra - Italy: treaty signed on 08.09.2015</t>
  </si>
  <si>
    <t>Monaco</t>
  </si>
  <si>
    <t>Norway</t>
  </si>
  <si>
    <t>Poland</t>
  </si>
  <si>
    <t>Andorra - Portugal: tax treaty signed on 27.09.2015</t>
  </si>
  <si>
    <t>San Marino</t>
  </si>
  <si>
    <t>South Korea</t>
  </si>
  <si>
    <t>Sweden</t>
  </si>
  <si>
    <t>Switzerland - Andorra: treaty effective from 01.01.2016</t>
  </si>
  <si>
    <t>Bahamas Double Tax Treaties</t>
  </si>
  <si>
    <t>Bahamas has not yet signed any Double Tax Avoidance Treaties.</t>
  </si>
  <si>
    <t>Bahamas Tax Information Exchange Agreements</t>
  </si>
  <si>
    <t>Bahamas - Belgium: treaty effective from 01.01.2015</t>
  </si>
  <si>
    <t>Canada</t>
  </si>
  <si>
    <t>China</t>
  </si>
  <si>
    <t>Bahamas - Czech Republic: treaty effective from 02.04.2015</t>
  </si>
  <si>
    <t>India</t>
  </si>
  <si>
    <t>Indonesia</t>
  </si>
  <si>
    <t>Bahamas - Indonesia: treaty signed on 25.06.2015</t>
  </si>
  <si>
    <t>Bahamas - Ireland: treaty signed on 12.01.2015</t>
  </si>
  <si>
    <t>Japan</t>
  </si>
  <si>
    <t>Mexico</t>
  </si>
  <si>
    <t>New Zealand</t>
  </si>
  <si>
    <t>Bahamas - Poland: treaty effective from 01.01.2014</t>
  </si>
  <si>
    <t>South Africa</t>
  </si>
  <si>
    <t>United Kingdom</t>
  </si>
  <si>
    <t>United States</t>
  </si>
  <si>
    <t>Barbados Double Tax Treaties</t>
  </si>
  <si>
    <t>Bahrain</t>
  </si>
  <si>
    <t>Botswana</t>
  </si>
  <si>
    <t>Cuba</t>
  </si>
  <si>
    <t>Ghana</t>
  </si>
  <si>
    <t>Barbados - Italy: treaty signed on 24.08.2015</t>
  </si>
  <si>
    <t>Qatar</t>
  </si>
  <si>
    <t>Barbados - Qatar: tax treaty signed on 06.12.2012</t>
  </si>
  <si>
    <t>Barbados - San Marino: tax treaty signed on 14.12.2012</t>
  </si>
  <si>
    <t>Barbados - Singapore: tax treaty effective from 01.01.2015</t>
  </si>
  <si>
    <t>Slovakia</t>
  </si>
  <si>
    <t>Barbados - Slovakia: treaty signed on 28.10.2015</t>
  </si>
  <si>
    <t>Barbados - UAE: tax treaty signed on 22.09.2014</t>
  </si>
  <si>
    <t>Venezuela</t>
  </si>
  <si>
    <t>Barbados Tax Information Exchange Agreements</t>
  </si>
  <si>
    <t>Belize Double Tax Treaties</t>
  </si>
  <si>
    <t>Belize - UAE: tax treaty signed on 02.10.2015</t>
  </si>
  <si>
    <t>Belize Tax Information Exchange Agreements</t>
  </si>
  <si>
    <t>Signed on 31.03.2010</t>
  </si>
  <si>
    <t>Belize - Czech Republic: treaty signed on 12.02.2016</t>
  </si>
  <si>
    <t>Signed on 22.11.2010</t>
  </si>
  <si>
    <t>Signed on 15.09.2010</t>
  </si>
  <si>
    <t>Belize - India: treaty enters into force on 25.11.2013</t>
  </si>
  <si>
    <t>Belize - Poland: treaty signed on 21.05.2013</t>
  </si>
  <si>
    <t>Signed on 22.10.2010</t>
  </si>
  <si>
    <t>Belize - Switzerland: treaty effective from 01.01.2017</t>
  </si>
  <si>
    <t>Bermuda Double Tax Treaties</t>
  </si>
  <si>
    <t>Bermuda has not yet signed any Double Tax Avoidance Treaties.</t>
  </si>
  <si>
    <t>Bermuda Tax Information Exchange Agreements</t>
  </si>
  <si>
    <t>Bermuda - Belgium: treaty signed on 11.06.2013</t>
  </si>
  <si>
    <t>Signed on 15.08.2011</t>
  </si>
  <si>
    <t>Signed on 03.07.2009</t>
  </si>
  <si>
    <t>Signed on 17.04.2009</t>
  </si>
  <si>
    <t>Signed on 2404.2012</t>
  </si>
  <si>
    <t>Bermuda - Poland: treaty effective from 15.03.2015</t>
  </si>
  <si>
    <t>Bermuda - South Korea: treaty effective from 13.02.2015</t>
  </si>
  <si>
    <t>Turkey</t>
  </si>
  <si>
    <t>Bermuda - Turkey: treaty effective from 18.09.2013</t>
  </si>
  <si>
    <t>British Virgin Islands Double Tax Treaties</t>
  </si>
  <si>
    <t>British Virgin Islands has not yet signed any Double Tax Avoidance Treaties.</t>
  </si>
  <si>
    <t>British Virgin Islands Tax Information Exchange Agreements</t>
  </si>
  <si>
    <t>Aruba</t>
  </si>
  <si>
    <t>Signed on 19.05.2009</t>
  </si>
  <si>
    <t>BVI - Guernsey: treaty effective from 11.11.2014</t>
  </si>
  <si>
    <t>BVI - Isle of Man: treaty effective from 01.01.2016</t>
  </si>
  <si>
    <t>Netherlands Antilles</t>
  </si>
  <si>
    <t>Signed on 14.09.2009</t>
  </si>
  <si>
    <t>BVI - Poland: treaty signed on 29.11.2013</t>
  </si>
  <si>
    <t>Signed on 24.09.2009</t>
  </si>
  <si>
    <t>Cayman Islands Double Tax Treaties</t>
  </si>
  <si>
    <t>Cayman Islands has not yet signed any Double Tax Avoidance Treaties.</t>
  </si>
  <si>
    <t>Cayman Islands Tax Information Exchange Agreements</t>
  </si>
  <si>
    <t>Cayman Islands - Belgium: treaty signed on 24.04.2014</t>
  </si>
  <si>
    <t>Brazil</t>
  </si>
  <si>
    <t>Cayman Islands - Brazil: treaty signed on 19.02.2013</t>
  </si>
  <si>
    <t>Greece</t>
  </si>
  <si>
    <t>Signed on 07.10.2010</t>
  </si>
  <si>
    <t>Cayman Islands - Isle of Man: treaty effective from 01.01.2017</t>
  </si>
  <si>
    <t>Cayman Islands - Italy: treaty effective from 13.08.2015</t>
  </si>
  <si>
    <t>Cayman Islands - Poland: treaty effective from 11.12.2014</t>
  </si>
  <si>
    <t>Signed on 26.10.2012</t>
  </si>
  <si>
    <t>Cayman Islands - Seychelles: treaty signed on 12.02.2014</t>
  </si>
  <si>
    <t>Cayman Islands - US: new treaty effective from 14.04.2014</t>
  </si>
  <si>
    <t>Cyprus Double Tax Treaties</t>
  </si>
  <si>
    <t>Armenia</t>
  </si>
  <si>
    <t>Cyprus - Bahrain: treaty signed on 09.03.2015</t>
  </si>
  <si>
    <t>Belarus</t>
  </si>
  <si>
    <t>Bosnia and Herzegovina</t>
  </si>
  <si>
    <t>Bulgaria</t>
  </si>
  <si>
    <t>Estonia</t>
  </si>
  <si>
    <t>Ethiopia</t>
  </si>
  <si>
    <t>Cyprus - Ethiopia: treaty signed on 30.12.2015</t>
  </si>
  <si>
    <t>Georgia</t>
  </si>
  <si>
    <t>Cyprus - Georgia: treaty effective from 01.01.2017</t>
  </si>
  <si>
    <t>Cyprus - Guernsey: tax treaty effective from 01.01.2016</t>
  </si>
  <si>
    <t>Hungary</t>
  </si>
  <si>
    <t>Cyprus - Iceland tax treaty effective from 01.01.2015</t>
  </si>
  <si>
    <t>Cyprus - India: new tax treaty signed on 18.11.2016</t>
  </si>
  <si>
    <t>Iran</t>
  </si>
  <si>
    <t>Cyprus - Iran: treaty signed on 04.08.2015</t>
  </si>
  <si>
    <t>Cyprus - Jersey: tax treaty signed on 11.07.2016</t>
  </si>
  <si>
    <t>Kuwait</t>
  </si>
  <si>
    <t>Latvia</t>
  </si>
  <si>
    <t>Cyprus - Latvia: tax treaty effective from 01.01.2017</t>
  </si>
  <si>
    <t>Lebanon</t>
  </si>
  <si>
    <t>Cyprus - Lithuania: tax treaty effective from 01.01.2015</t>
  </si>
  <si>
    <t>Moldova</t>
  </si>
  <si>
    <t>Montenegro</t>
  </si>
  <si>
    <t>Cyprus - Norway: new treaty effective from 01.01.2015</t>
  </si>
  <si>
    <t>Romania</t>
  </si>
  <si>
    <t>Russia</t>
  </si>
  <si>
    <t>Serbia</t>
  </si>
  <si>
    <t>Slovenia</t>
  </si>
  <si>
    <t>Cyprus - South Africa: amending protocol enters into force on 18.09.2015</t>
  </si>
  <si>
    <t>Cyprus - Spain: tax treaty effective from 01.01.2015</t>
  </si>
  <si>
    <t>Cyprus - Switzerland: tax treaty effective from 01.01.2016</t>
  </si>
  <si>
    <t>Syria</t>
  </si>
  <si>
    <t>Thailand</t>
  </si>
  <si>
    <t>Ukraine</t>
  </si>
  <si>
    <t>Cyprus - Ukraine: amending protocol signed on 11.12.2015</t>
  </si>
  <si>
    <t>Cyprus Tax Information Exchange Agreements</t>
  </si>
  <si>
    <t>Cyprus has not yet signed any Tax Information Exchange Agreements.</t>
  </si>
  <si>
    <t>Egypt Double Tax Treaties</t>
  </si>
  <si>
    <t>Albania</t>
  </si>
  <si>
    <t>Algeria</t>
  </si>
  <si>
    <t>FYROM</t>
  </si>
  <si>
    <t>Iraq</t>
  </si>
  <si>
    <t>Ireland - Egypt: tax treaty signed on 06.11.2012</t>
  </si>
  <si>
    <t>Jordan</t>
  </si>
  <si>
    <t>Libya</t>
  </si>
  <si>
    <t>Malaysia</t>
  </si>
  <si>
    <t>Morocco</t>
  </si>
  <si>
    <t>Oman</t>
  </si>
  <si>
    <t>Pakistan</t>
  </si>
  <si>
    <t>Palestine</t>
  </si>
  <si>
    <t>Sudan</t>
  </si>
  <si>
    <t>Tunisia</t>
  </si>
  <si>
    <t>Yemen</t>
  </si>
  <si>
    <t>Egypt Tax Information Exchange Agreements</t>
  </si>
  <si>
    <t>Egypt has not yet signed any Tax Information Exchange Agreements.</t>
  </si>
  <si>
    <t>Gibraltar Double Tax Treaties</t>
  </si>
  <si>
    <t>Gibraltar has not yet signed any Double Tax Avoidance Treaties.</t>
  </si>
  <si>
    <t>Gibraltar Tax Information Exchange Agreements</t>
  </si>
  <si>
    <t>Gibraltar - Belgium: treaty effective from 17.06.2014</t>
  </si>
  <si>
    <t>Gibraltar - Greece: treaty signed on 31.01.2013</t>
  </si>
  <si>
    <t>Gibraltar - Guernsey: treaty effective from 12.03.2014</t>
  </si>
  <si>
    <t>Gibraltar - Italy: treaty effective from 12.06.2015</t>
  </si>
  <si>
    <t>Gibraltar - Mexico: treaty effective from 27.08.2014</t>
  </si>
  <si>
    <t>Signed on 04.12.2012</t>
  </si>
  <si>
    <t>Guernsey Double Tax Treaties</t>
  </si>
  <si>
    <t>Guernsey - Luxembourg: tax treaty effective from 01.01.2015</t>
  </si>
  <si>
    <t>Guernsey - Mauritius: tax treaty effective from 01.01.2015</t>
  </si>
  <si>
    <t>Guernsey - Monaco: tax treaty effective from 01.01.2016</t>
  </si>
  <si>
    <t>Guernsey - Seychelles: treaty effective from 01.01.2017</t>
  </si>
  <si>
    <t>Guernsey - Austria: treaty effective from 23.11.2014</t>
  </si>
  <si>
    <t>Guernsey - Belgium: treaty signed on 07.05.2014</t>
  </si>
  <si>
    <t>Guernsey - Botswana: treaty signed on 10.05.2013</t>
  </si>
  <si>
    <t>Guernsey - Brazil: treaty signed on 06.02.2013</t>
  </si>
  <si>
    <t>Guernsey - Bulgaria: treaty signed on 11.06.2015</t>
  </si>
  <si>
    <t>Chile</t>
  </si>
  <si>
    <t>Guernsey - Chile: treaty effective from 02.08.2016</t>
  </si>
  <si>
    <t>Costa Rica</t>
  </si>
  <si>
    <t>Guernsey - Costa Rica: treaty signed on 05.03.2014</t>
  </si>
  <si>
    <t>Signed on 27.04.2011</t>
  </si>
  <si>
    <t>Signed on 05.09.2012</t>
  </si>
  <si>
    <t>Guernsey - Latvia: treaty effective from 04.10.2013</t>
  </si>
  <si>
    <t>Lesotho</t>
  </si>
  <si>
    <t>Guernsey - Lesotho: tax treaty effective from 03.01.2015</t>
  </si>
  <si>
    <t>Guernsey - Liechtenstein: treaty effective from 01.01.2016</t>
  </si>
  <si>
    <t>Guernsey - Lithuania: treaty signed on 20.06.2013</t>
  </si>
  <si>
    <t>Macau</t>
  </si>
  <si>
    <t>Guernsey - Macau: treaty effective from 25.04.2015</t>
  </si>
  <si>
    <t>Montserrat</t>
  </si>
  <si>
    <t>Guernsey - Montserrat: treaty signed on 19.05.2014</t>
  </si>
  <si>
    <t>Signed on 09.07.2010</t>
  </si>
  <si>
    <t>Saint Kitts and Nevis</t>
  </si>
  <si>
    <t>Guernsey - Slovakia: treaty effective from 26.01.2015</t>
  </si>
  <si>
    <t>Guernsey - Spain: treaty signed on 10.11.2015</t>
  </si>
  <si>
    <t>Swaziland</t>
  </si>
  <si>
    <t>Guernsey - Swaziland: treaty effective from 12.03.2015</t>
  </si>
  <si>
    <t>Guernsey - Switzerland: treaty signed on 11.09.2013</t>
  </si>
  <si>
    <t>Signed on 13.03.2012</t>
  </si>
  <si>
    <t>Turks and Caicos Islands</t>
  </si>
  <si>
    <t>Guernsey - Turks and Caicos Islands: effective from 17.08.2015</t>
  </si>
  <si>
    <t>Uruguay</t>
  </si>
  <si>
    <t>Guernsey - Uruguay: treaty signed on 02.07.2014</t>
  </si>
  <si>
    <t>Brunei</t>
  </si>
  <si>
    <t>Vietnam</t>
  </si>
  <si>
    <t>Hong Kong Tax Information Exchange Agreements</t>
  </si>
  <si>
    <t>Hong Kong - Denmark: treaty signed on 22.08.2014</t>
  </si>
  <si>
    <t>Hong Kong - Faroe Islands: treaty effective from 01.04.2016</t>
  </si>
  <si>
    <t>Hong Kong - Greenland: treaty effective from 01.04.2016</t>
  </si>
  <si>
    <t>Hong Kong - Iceland: treaty signed from 01.04.2016</t>
  </si>
  <si>
    <t>Hong Kong - Norway: treaty signed from 01.04.2016</t>
  </si>
  <si>
    <t>Hong Kong - Sweden: treaty effective from 01.04.2016</t>
  </si>
  <si>
    <t>Hong Kong - United States: treaty effective from 20.06.2014</t>
  </si>
  <si>
    <t>Ireland Double Tax Treaties</t>
  </si>
  <si>
    <t>Ireland - Botswana: tax treaty effective from 01.01.2017</t>
  </si>
  <si>
    <t>Croatia</t>
  </si>
  <si>
    <t>Tax treaty signed on 03.11.2014</t>
  </si>
  <si>
    <t>Israel</t>
  </si>
  <si>
    <t>Ireland - Pakistan: new treaty signed on 16.04.2015</t>
  </si>
  <si>
    <t>Saudi Arabia</t>
  </si>
  <si>
    <t>Ireland - Thailand: tax treaty effective from 01.01.2016</t>
  </si>
  <si>
    <t>Ireland - Ukraine: tax treaty effective from 01.01.2016</t>
  </si>
  <si>
    <t>Uzbekistan</t>
  </si>
  <si>
    <t>Zambia</t>
  </si>
  <si>
    <t>Ireland - Zambia: new tax treaty signed on 31.03.2015</t>
  </si>
  <si>
    <t>Ireland Tax Information Exchange Agreements</t>
  </si>
  <si>
    <t>Anguilla</t>
  </si>
  <si>
    <t>Antigua and Barbuda</t>
  </si>
  <si>
    <t>Ireland - Argentina: tax treaty signed on 29.10.2014</t>
  </si>
  <si>
    <t>Cook Islands</t>
  </si>
  <si>
    <t>Dominica</t>
  </si>
  <si>
    <t>Effective from 22.09.2015</t>
  </si>
  <si>
    <t>Grenada</t>
  </si>
  <si>
    <t>Marshall Islands</t>
  </si>
  <si>
    <t>Ireland - Marshall Islands: treaty effective from 10.02.2015</t>
  </si>
  <si>
    <t>Signed on 14.12.2012</t>
  </si>
  <si>
    <t>Ireland - St. Kitts and Nevis: treaty signed on 21.07.2015</t>
  </si>
  <si>
    <t>Saint Lucia</t>
  </si>
  <si>
    <t>Saint Vincent and the Grenadines</t>
  </si>
  <si>
    <t>Samoa</t>
  </si>
  <si>
    <t>Signed on 22.07.2009</t>
  </si>
  <si>
    <t>Vanuatu</t>
  </si>
  <si>
    <t>Ireland - Vanuatu: treaty effective from 19.02.105</t>
  </si>
  <si>
    <t>Isle of Man Double Tax Treaties</t>
  </si>
  <si>
    <t>Isle of Man - Belgium: tax treaty signed on 16.07.2009</t>
  </si>
  <si>
    <t>Isle of Man - Luxembourg: tax treaty effective from 01.01.2015</t>
  </si>
  <si>
    <t>Isle of Man Tax Information Exchange Agreements</t>
  </si>
  <si>
    <t>Isle of Man - Botswana: treaty signed on 14.06.2013</t>
  </si>
  <si>
    <t>Isle of Man - Indonesia: tax treaty effective from 22.09.2014</t>
  </si>
  <si>
    <t>Isle of Man - Italy: treaty effective from 14.06.2015</t>
  </si>
  <si>
    <t>Isle of Man - Lesotho: treaty effective from 03.01.2015</t>
  </si>
  <si>
    <t>Isle of Man - Swaziland: treaty signed on 13.05.2014</t>
  </si>
  <si>
    <t>Isle of Man - Switzerland: treaty effective from 01.01.2015</t>
  </si>
  <si>
    <t>Signed on 21.09.2012</t>
  </si>
  <si>
    <t>Jersey Double Tax Treaties</t>
  </si>
  <si>
    <t>Rwanda</t>
  </si>
  <si>
    <t>Jersey - Rwanda: tax treaty effective from 01.01.2017</t>
  </si>
  <si>
    <t>Jersey - Seychelles: treaty signed on 28.07.2015</t>
  </si>
  <si>
    <t>Jersey Tax Information Exchange Agreements</t>
  </si>
  <si>
    <t>Jersey - Austria: treaty effective from 01.01.2014</t>
  </si>
  <si>
    <t>Jersey - Belgium: treaty signed on 13.03.2014</t>
  </si>
  <si>
    <t>Jersey - Brazil: treaty signed on 28.01.2013</t>
  </si>
  <si>
    <t>Jersey - Hungary: tax treaty effective from 13.02.2015</t>
  </si>
  <si>
    <t>Jersey - Indonesia: treaty effective from 22.09.2014</t>
  </si>
  <si>
    <t>Jersey - Italy: treaty effective from 26.01.2015</t>
  </si>
  <si>
    <t>Jersey - Romania: tax treaty effective from 01.01.2017</t>
  </si>
  <si>
    <t>Jersey - Slovenia: treaty effective from 24.06.2014</t>
  </si>
  <si>
    <t>Jersey - South Korea: treaty signed on 21.07.2015</t>
  </si>
  <si>
    <t>Jersey - Spain: TIEA signed on 17.11.2015</t>
  </si>
  <si>
    <t>Jersey - Switzerland: treaty effective from 01.01.2015</t>
  </si>
  <si>
    <t>Liechtenstein - Czech Republic: tax treaty effective from 01.01.2016</t>
  </si>
  <si>
    <t>Liechtenstein - Hungary: tax treaty effective from 01.01.2016</t>
  </si>
  <si>
    <t>Liechtenstein - Malta: tax treaty effective from 01.01.2015</t>
  </si>
  <si>
    <t>Liechtenstein - Singapore: tax treaty effective from 01.01.2015</t>
  </si>
  <si>
    <t>Liechtenstein - Switzerland: new tax treaty signed on 10.07.2015</t>
  </si>
  <si>
    <t>Liechtenstein - UAE: tax treaty signed on 02.10.2015</t>
  </si>
  <si>
    <t>Liechtenstein Double Tax Treaties</t>
  </si>
  <si>
    <t>Liechtenstein Tax Information Exchange Agreements</t>
  </si>
  <si>
    <t>Signed on 11.11.2009</t>
  </si>
  <si>
    <t>Liechtenstein - Canada: treaty effective from 01.01.2015</t>
  </si>
  <si>
    <t>Liechtenstein - China: treaty effective from 01.01.2015</t>
  </si>
  <si>
    <t>Signed on 28.03.2013</t>
  </si>
  <si>
    <t>Liechtenstein - Italy: treaty signed on 26.02.2015</t>
  </si>
  <si>
    <t>Signed on 22.04.2013</t>
  </si>
  <si>
    <t>Liechtenstein - South Africa: treaty entered into force on 23.05.2015</t>
  </si>
  <si>
    <t>Azerbaijan</t>
  </si>
  <si>
    <t>Kazakhstan</t>
  </si>
  <si>
    <t>Kyrgyzstan</t>
  </si>
  <si>
    <t>Turkmenistan</t>
  </si>
  <si>
    <t>Lithuania Tax Information Exchange Agreements</t>
  </si>
  <si>
    <t>Lithuania - Georgia: treaty signed on 21.10.2014</t>
  </si>
  <si>
    <t>Lithuania - Kazakhstan: treaty signed on 12.12.2011</t>
  </si>
  <si>
    <t>Luxembourg Double Tax Treaties</t>
  </si>
  <si>
    <t>Luxembourg - Brunei: tax treaty signed on 14.07.2015</t>
  </si>
  <si>
    <t>Luxembourg - Croatia: tax treaty signed on 20.06.2014</t>
  </si>
  <si>
    <t>Luxembourg - Czech Republic: mew tax treaty effective from 01.01.2015</t>
  </si>
  <si>
    <t>Luxembourg - Estonia: new tax treaty effective from 01.01.2016</t>
  </si>
  <si>
    <t>Luxembourg - Hungary: new treaty signed on 10.03.2015</t>
  </si>
  <si>
    <t>Laos</t>
  </si>
  <si>
    <t>Luxembourg - Laos: tax treaty effective from 01.01.2015</t>
  </si>
  <si>
    <t>Luxembourg - Saudi Arabia: tax treaty effective from 01.01.2015</t>
  </si>
  <si>
    <t>Senegal</t>
  </si>
  <si>
    <t>Luxembourg - Senegal: tax treaty signed on 10.02.2016</t>
  </si>
  <si>
    <t>Luxembourg - Serbia: tax treaty signed on 15.12.2015</t>
  </si>
  <si>
    <t>Luxembourg - Singapore: new tax treaty effective from 01.01.2016</t>
  </si>
  <si>
    <t>Taiwan</t>
  </si>
  <si>
    <t>Luxembourg - Taiwan: tax treaty effective from 01.01.2015</t>
  </si>
  <si>
    <t>Tajikistan</t>
  </si>
  <si>
    <t>Trinidad and Tobago</t>
  </si>
  <si>
    <t>Luxembourg - UAE: amending protocol signed on 26.11.2014</t>
  </si>
  <si>
    <t>Luxembourg - Uruguay: treaty signed on 10.03.2015</t>
  </si>
  <si>
    <t>Luxembourg Tax Information Exchange Agreements</t>
  </si>
  <si>
    <t>Malta Double Tax Treaties</t>
  </si>
  <si>
    <t>Malta - Azerbaijan: treaty signed on 29.04.2016</t>
  </si>
  <si>
    <t>Curacao</t>
  </si>
  <si>
    <t>Malta - Curacao: treaty signed on 18.11.2015</t>
  </si>
  <si>
    <t>Malta - India: new tax treaty effective from 01.01.2015</t>
  </si>
  <si>
    <t>Malta - Mauritius: tax treaty effective from 01.01.2016</t>
  </si>
  <si>
    <t>Malta - Mexico: tax treaty effective from 01.01.2015</t>
  </si>
  <si>
    <t>Malta - Russia: tax treaty effective from 01.01.2015</t>
  </si>
  <si>
    <t>Malta - Ukraine: tax treaty signed on 04.09.2013</t>
  </si>
  <si>
    <t>Malta Tax Information Exchange Agreements</t>
  </si>
  <si>
    <t>Malta - Macau: treaty signed on 30.05.2013</t>
  </si>
  <si>
    <t>Mauritius Double Tax Treaties</t>
  </si>
  <si>
    <t>Bangladesh</t>
  </si>
  <si>
    <t>Congo</t>
  </si>
  <si>
    <t>Kenya</t>
  </si>
  <si>
    <t>Madagascar</t>
  </si>
  <si>
    <t>Mozambique</t>
  </si>
  <si>
    <t>Namibia</t>
  </si>
  <si>
    <t>Nepal</t>
  </si>
  <si>
    <t>Nigeria</t>
  </si>
  <si>
    <t>Mauritius - South Africa: new tax treaty signed on 17.05.2013</t>
  </si>
  <si>
    <t>Sri Lanka</t>
  </si>
  <si>
    <t>Uganda</t>
  </si>
  <si>
    <t>Zimbabwe</t>
  </si>
  <si>
    <t>Mauritius Tax Information Exchange Agreements</t>
  </si>
  <si>
    <t>Mauritius - Austria: treaty signed on 10.03.2015</t>
  </si>
  <si>
    <t>Signed on 2 December 2011</t>
  </si>
  <si>
    <t>Mauritius - United States: tax treaty signed on 31.01.2014</t>
  </si>
  <si>
    <t>Netherlands Double Tax Treaties</t>
  </si>
  <si>
    <t>Netherlands - China: new tax treaty effective from 01.01.2015</t>
  </si>
  <si>
    <t>Netherlands - Ethiopia: tax treaty signed on 10.08.2012</t>
  </si>
  <si>
    <t>Netherlands - Germany: new treaty effective from 01.01.2016</t>
  </si>
  <si>
    <t>Malawi</t>
  </si>
  <si>
    <t>Netherlands - Malawi: treaty signed on 20.04.2015</t>
  </si>
  <si>
    <t>Philippines</t>
  </si>
  <si>
    <t>Suriname</t>
  </si>
  <si>
    <t>Panama Double Tax Treaties</t>
  </si>
  <si>
    <t>Panama - Czech Republic: tax treaty signed on 04.07.2012</t>
  </si>
  <si>
    <t>Panama - Israel: tax treaty effective from 01.01.2015</t>
  </si>
  <si>
    <t>Tax treaty signed on 30.12.2010</t>
  </si>
  <si>
    <t>Tax treaty signed on 13.10.2012</t>
  </si>
  <si>
    <t>Panama Tax Information Exchange Agreements</t>
  </si>
  <si>
    <t>Signed on 13 November 2012</t>
  </si>
  <si>
    <t>Signed on 12 November 2012</t>
  </si>
  <si>
    <t>Signed on 17 March 2013</t>
  </si>
  <si>
    <t>Seychelles Double Tax Treaties</t>
  </si>
  <si>
    <t>Tax treaty signed on 27.04.2006</t>
  </si>
  <si>
    <t>Seychelles - Kenya: tax treaty signed on 17.03.2014</t>
  </si>
  <si>
    <t>Seychelles - Singapore: tax treaty effective from 01.01.2016</t>
  </si>
  <si>
    <t>Seychelles Tax Information Exchange Agreements</t>
  </si>
  <si>
    <t>Seychelles - Georgia: treaty signed on 29.10.2015</t>
  </si>
  <si>
    <t>Seychelles - India: treaty signed on 26.08.2015</t>
  </si>
  <si>
    <t>Seychelles - Switzerland: treaty signed on 26.05.2014</t>
  </si>
  <si>
    <t>Singapore Double Tax Treaties</t>
  </si>
  <si>
    <t>Cambodia</t>
  </si>
  <si>
    <t>Singapore - Cambodia: tax treaty signed on 20.05.2016</t>
  </si>
  <si>
    <t>Ecuador</t>
  </si>
  <si>
    <t>Singapore - Ecuador: tax treaty effective from 01.01.2016</t>
  </si>
  <si>
    <t>Fiji</t>
  </si>
  <si>
    <t>Singapore - Laos: treaty signed on 21.02.2014</t>
  </si>
  <si>
    <t>Mongolia</t>
  </si>
  <si>
    <t>Singapore - Morocco: tax treaty effective from 01.01.2015</t>
  </si>
  <si>
    <t>Myanmar</t>
  </si>
  <si>
    <t>Papua New Guinea</t>
  </si>
  <si>
    <t>Singapore - Poland: new tax treaty effective from 01.01.2015</t>
  </si>
  <si>
    <t>Singapore - Rwanda: tax treaty effective from 01.01.2017</t>
  </si>
  <si>
    <t>Singapore - San Marino: tax treaty effective from 01.01.2016</t>
  </si>
  <si>
    <t>Singapore - Sri Lanka: new treaty signed on 03.04.2014</t>
  </si>
  <si>
    <t>Singapore - Thailand: new treaty signed on 11.06.2015</t>
  </si>
  <si>
    <t>Singapore Tax Information Exchange Agreements</t>
  </si>
  <si>
    <t>Switzerland Double Tax Treaties</t>
  </si>
  <si>
    <t>Switzerland - Argentina: tax treaty effective from 01.01.2016</t>
  </si>
  <si>
    <t>Switzerland - Australia: new tax treaty signed on 30.07.2013</t>
  </si>
  <si>
    <t>Switzerland - China: new tax effective from 01.01.2015</t>
  </si>
  <si>
    <t>Colombia</t>
  </si>
  <si>
    <t>Switzerland - Estonia amending protocol signed on 25.08.2014</t>
  </si>
  <si>
    <t>Switzerland - Hungary: new tax treaty effective from 01.01.2015</t>
  </si>
  <si>
    <t>Switzerland - Iceland: new tax treaty signed on 10.07.2014</t>
  </si>
  <si>
    <t>Ivory Coast</t>
  </si>
  <si>
    <t>Jamaica</t>
  </si>
  <si>
    <t>Switzerland - Oman: tax treaty signed on 22.05.2015</t>
  </si>
  <si>
    <t>Peru</t>
  </si>
  <si>
    <t>Switzerland - Peru: tax treaty effective from 01.01.2015</t>
  </si>
  <si>
    <t>Switzerland Tax Information Exchange Agreements</t>
  </si>
  <si>
    <t>Switzerland - Greenland: treaty signed on 07.03.2014</t>
  </si>
  <si>
    <t>Switzerland - Grenada: tax treaty signed on 19.05.2015</t>
  </si>
  <si>
    <t>Switzerland - San Marino: treaty signed on 16.05.2014</t>
  </si>
  <si>
    <t>UAE - Dubai Double Tax Treaties</t>
  </si>
  <si>
    <t>UAE - Albania: tax treaty signed on 13.03.2014</t>
  </si>
  <si>
    <t>UAE - Ethiopia: tax treaty signed on 12.04.2015</t>
  </si>
  <si>
    <t>UAE - FYROM: tax treaty signed on 26.10.2015</t>
  </si>
  <si>
    <t>UAE - Hungary: tax treaty effective from 01.01.2015</t>
  </si>
  <si>
    <t>UAE - Japan: tax treaty signed on 02.05.2013</t>
  </si>
  <si>
    <t>Kosovo</t>
  </si>
  <si>
    <t>UAE - Kosovo: Tax treaty signed on 20.05.2016</t>
  </si>
  <si>
    <t>Mauritania</t>
  </si>
  <si>
    <t>UAE - Mauritania: tax treaty signed on 21.10.2015</t>
  </si>
  <si>
    <t>UAE - Mexico: tax treaty effective from 01.01.2015</t>
  </si>
  <si>
    <t>UAE - Romania: new tax treaty signed on 05.05.2015</t>
  </si>
  <si>
    <t>UAE - Senegal: tax treaty signed on 22.10.2015</t>
  </si>
  <si>
    <t>UAE - Serbia: tax treaty signed on 13.01.2013</t>
  </si>
  <si>
    <t>UAE - Slovenia: tax treaty effective from 01.01.2015</t>
  </si>
  <si>
    <t>UAE - Uganda: treaty signed on 09.06.2015</t>
  </si>
  <si>
    <t>UAE - Dubai Tax Information Exchange Agreements</t>
  </si>
  <si>
    <t>UAE - Denmark: treaty signed on 04.11.2015</t>
  </si>
  <si>
    <t>UAE - Norway: treaty signed on 03.11.2015</t>
  </si>
  <si>
    <t>UAE - Sweden: treaty signed on 05.11.2015</t>
  </si>
  <si>
    <t>UAE - RAK Double Tax Treaties</t>
  </si>
  <si>
    <t>UAE - RAK Tax Information Exchange Agreements</t>
  </si>
  <si>
    <t>Cayman_Islands</t>
  </si>
  <si>
    <t>Name</t>
  </si>
  <si>
    <t>Abbey National Treasury Services plc</t>
  </si>
  <si>
    <t>Category B (Banking)</t>
  </si>
  <si>
    <t>View Profile</t>
  </si>
  <si>
    <t>Category B (Banking &amp; Trust)</t>
  </si>
  <si>
    <t>  Bancredit Cayman Limited (closed)</t>
  </si>
  <si>
    <t>Category A (Banking &amp; Trust)</t>
  </si>
  <si>
    <t>Category A (Banking)</t>
  </si>
  <si>
    <t>  Capital One, National Association</t>
  </si>
  <si>
    <t>  Givens Hall Bank &amp; Trust Ltd</t>
  </si>
  <si>
    <t>  Serfin International Bank &amp; Trust (closed)</t>
  </si>
  <si>
    <t>  The Dundee Merchant Bank (closed)</t>
  </si>
  <si>
    <t>Category</t>
  </si>
  <si>
    <t>Profile</t>
  </si>
  <si>
    <t>  Alexandria Bancorp Limited</t>
  </si>
  <si>
    <t>  Alhambra Bank &amp; Trust Limited (new)</t>
  </si>
  <si>
    <t>  Allied Irish Banks, Public Limited Company</t>
  </si>
  <si>
    <t>  Altajir Bank</t>
  </si>
  <si>
    <t>  Amegy Bank National Association (closed)</t>
  </si>
  <si>
    <t>  American Express Centurion Bank</t>
  </si>
  <si>
    <t>  Arab Banking Corporation (B.S.C)</t>
  </si>
  <si>
    <t>  Atlantic Security Bank</t>
  </si>
  <si>
    <t>  Australia and New Zealand Banking Group Limited</t>
  </si>
  <si>
    <t>  BAC International Bank (Grand Cayman)</t>
  </si>
  <si>
    <t>  BANCO DAYCOVAL S.A.</t>
  </si>
  <si>
    <t>  BCP Finance Bank, Ltd.</t>
  </si>
  <si>
    <t>  BIC International Bank Limited (closed)</t>
  </si>
  <si>
    <t>  BMG Bank (Cayman) Limited</t>
  </si>
  <si>
    <t>  BNP Paribas</t>
  </si>
  <si>
    <t>  BNP Paribas Bank &amp; Trust Cayman Limited</t>
  </si>
  <si>
    <t>  BNP Paribas Fortis (closed)</t>
  </si>
  <si>
    <t>  BNY Mellon Trust Company (Cayman) Limited (closed)</t>
  </si>
  <si>
    <t>  Banco ABC Brasil S.A.</t>
  </si>
  <si>
    <t>  Banco BPI Cayman, Ltd.</t>
  </si>
  <si>
    <t>  Banco BPI, S.A.</t>
  </si>
  <si>
    <t>  Banco BTG Pactual S.A.</t>
  </si>
  <si>
    <t>  Banco Bilbao Vizcaya Argentaria, S.A.</t>
  </si>
  <si>
    <t>  Banco Bradesco S.A.</t>
  </si>
  <si>
    <t>  Banco Colpatria Cayman Inc.</t>
  </si>
  <si>
    <t>  Banco Espirito Santo, S.A. (closed)</t>
  </si>
  <si>
    <t>  Banco Fibra S.A.</t>
  </si>
  <si>
    <t>  Banco Finantia International Limited (closed)</t>
  </si>
  <si>
    <t>  Banco General (Overseas), Inc.</t>
  </si>
  <si>
    <t>  Banco Inbursa S.A., Institucion de Banca Multiple Grupo Financiero Inbursa (closed)</t>
  </si>
  <si>
    <t>  Banco Indusval S.A.</t>
  </si>
  <si>
    <t>  Banco Mercantil del Norte, S.A., Institucion de Banca Multiple, Grupo Financiero Banorte</t>
  </si>
  <si>
    <t>  Banco Mercantil do Brasil S.A.</t>
  </si>
  <si>
    <t>  Banco Modal S.A.</t>
  </si>
  <si>
    <t>  Banco Morgan Stanley S.A.</t>
  </si>
  <si>
    <t>  Banco Nacional de Comercio Exterior, SNC</t>
  </si>
  <si>
    <t>  Banco Original S.A. (new)</t>
  </si>
  <si>
    <t>  Banco Pine S.A.</t>
  </si>
  <si>
    <t>  Banco Rabobank International Brasil S.A. (closed)</t>
  </si>
  <si>
    <t>  Banco Safra (Cayman Islands) Limited</t>
  </si>
  <si>
    <t>  Banco Safra S.A.</t>
  </si>
  <si>
    <t>  Banco Santander (Brasil) S.A.</t>
  </si>
  <si>
    <t>  Banco Sofisa S.A.</t>
  </si>
  <si>
    <t>  Banco Sumitomo Mitsui Brasileiro S.A.</t>
  </si>
  <si>
    <t>  Banco de la Nacion Argentina</t>
  </si>
  <si>
    <t>  Banco de la Provincia de Buenos Aires (closed)</t>
  </si>
  <si>
    <t>  Banco do Brasil S.A.</t>
  </si>
  <si>
    <t>  Banco do Estado do Rio Grande do Sul S.A.</t>
  </si>
  <si>
    <t>  Bancolombia Cayman</t>
  </si>
  <si>
    <t>  Bangkok Bank Public Company Limited (new)</t>
  </si>
  <si>
    <t>  Bank Espirito Santo (International) Limited</t>
  </si>
  <si>
    <t>  Bank Hapoalim (Cayman) Limited (closed)</t>
  </si>
  <si>
    <t>  Bank Leumi Le Israel B.M. (closed)</t>
  </si>
  <si>
    <t>  Bank of America, National Association</t>
  </si>
  <si>
    <t>  Bank of Ayudhya Public Company Limited (closed)</t>
  </si>
  <si>
    <t>  Bank of Bermuda (Cayman) Limited</t>
  </si>
  <si>
    <t>  Bank of China Limited</t>
  </si>
  <si>
    <t>  Bank of India</t>
  </si>
  <si>
    <t>  Bank of Oklahoma N.A. (closed)</t>
  </si>
  <si>
    <t>  Bank of Scotland plc (closed)</t>
  </si>
  <si>
    <t>  Bank of the West (closed)</t>
  </si>
  <si>
    <t>  Barclays Bank PLC</t>
  </si>
  <si>
    <t>  Barclays Private Bank &amp; Trust (Cayman) Limited (closed)</t>
  </si>
  <si>
    <t>  Bessemer Trust Company (Cayman) Limited</t>
  </si>
  <si>
    <t>  Branch Banking and Trust Company</t>
  </si>
  <si>
    <t>  Brasilian American Merchant Bank</t>
  </si>
  <si>
    <t>  Brown Brothers Harriman &amp; Co.</t>
  </si>
  <si>
    <t>  Butterfield Bank (Cayman) Limited</t>
  </si>
  <si>
    <t>  CIBC Bank and Trust Company (Cayman) Limited</t>
  </si>
  <si>
    <t>  CIBC Cayman Bank Limited (new)</t>
  </si>
  <si>
    <t>  CITCO Bank and Trust Company Limited</t>
  </si>
  <si>
    <t>  CITITRUST (CAYMAN) LIMITED (closed)</t>
  </si>
  <si>
    <t>  COMMERZBANK AKTIENGESELLSCHAFT</t>
  </si>
  <si>
    <t>  Cainvest Bank and Trust Limited</t>
  </si>
  <si>
    <t>  Cainvest International Bank Ltd. (closed)</t>
  </si>
  <si>
    <t>  Caixa Economica Montepio Geral (closed)</t>
  </si>
  <si>
    <t>  Caixa Geral de Depositos, S.A.</t>
  </si>
  <si>
    <t>  Caledonian Bank Limited (closed)</t>
  </si>
  <si>
    <t>  Canadian Imperial Bank of Commerce</t>
  </si>
  <si>
    <t>  Cayman National Bank Ltd.</t>
  </si>
  <si>
    <t>  Chase Bank USA, National Association (closed)</t>
  </si>
  <si>
    <t>  China CITIC Bank International Limited</t>
  </si>
  <si>
    <t>  China Construction Bank (Brasil) Banco Multiplo S/A</t>
  </si>
  <si>
    <t>  Cititrust Private Trust (Cayman) Limited (closed)</t>
  </si>
  <si>
    <t>  Citizens Bank of Pennsylvania</t>
  </si>
  <si>
    <t>  Citizens Bank, National Association</t>
  </si>
  <si>
    <t>  Comerica Bank</t>
  </si>
  <si>
    <t>  Commonwealth Bank of Australia</t>
  </si>
  <si>
    <t>  Compass Bank (closed)</t>
  </si>
  <si>
    <t>  Credit Agricole Corporate and Investment Bank</t>
  </si>
  <si>
    <t>  Credit Industriel ET Commercial</t>
  </si>
  <si>
    <t>  Credit Suisse AG</t>
  </si>
  <si>
    <t>  DMS Bank &amp; Trust Ltd.</t>
  </si>
  <si>
    <t>  DNB Bank ASA</t>
  </si>
  <si>
    <t>  DZ Bank AG Deutsche Zentral Genossenschaftsbank, Frankfurt am Main</t>
  </si>
  <si>
    <t>  Delta Bank and Trust Company, Grand Cayman</t>
  </si>
  <si>
    <t>  Deutsche Bank (Cayman) Limited</t>
  </si>
  <si>
    <t>  Deutsche Bank Aktiengesellschaft</t>
  </si>
  <si>
    <t>  EFG Bank</t>
  </si>
  <si>
    <t>  Erste Group Bank AG (closed)</t>
  </si>
  <si>
    <t>  Fidelity Bank (Cayman) Limited</t>
  </si>
  <si>
    <t>  Fifth Third Bank (The)</t>
  </si>
  <si>
    <t>  First Hawaiian Bank (closed)</t>
  </si>
  <si>
    <t>  First Regents Bank &amp; Trust (Cayman) Ltd. (closed)</t>
  </si>
  <si>
    <t>  FirstCaribbean International Bank (Cayman) Limited</t>
  </si>
  <si>
    <t>  GNB Sudameris Bank Limited</t>
  </si>
  <si>
    <t>  Global Fidelity Bank, Ltd. (new)</t>
  </si>
  <si>
    <t>  Gulf International Bank B.S.C.</t>
  </si>
  <si>
    <t>  HSBC Bank (Cayman) Limited (closed)</t>
  </si>
  <si>
    <t>  HSBC Bank Brasil S.A. - Banco Multiplo (closed)</t>
  </si>
  <si>
    <t>  HSH Nordbank AG (closed)</t>
  </si>
  <si>
    <t>  Haitong Banco de Investimento do Brasil S.A.</t>
  </si>
  <si>
    <t>  Helm Bank Cayman (closed)</t>
  </si>
  <si>
    <t>  Heritage Bank (new)</t>
  </si>
  <si>
    <t>  Hinduja Bank &amp; Trust (Cayman) Ltd.</t>
  </si>
  <si>
    <t>  Huntington National Bank (The) (closed)</t>
  </si>
  <si>
    <t>  ITA Bank and Trust Company Ltd. (closed)</t>
  </si>
  <si>
    <t>  ITAU UNIBANCO S.A.</t>
  </si>
  <si>
    <t>  Industrial and Commercial Bank of China (Asia) Limited</t>
  </si>
  <si>
    <t>  International Bank for Commerce</t>
  </si>
  <si>
    <t>  Intesa Sanpaolo S.p.A.</t>
  </si>
  <si>
    <t>  Israel Discount Bank of New York (closed)</t>
  </si>
  <si>
    <t>  Itau Bank &amp; Trust Cayman Ltd.</t>
  </si>
  <si>
    <t>  Itau Bank, Ltd.</t>
  </si>
  <si>
    <t>  Itau Unibanco Holding S.A.</t>
  </si>
  <si>
    <t>  J.P. Morgan Trust Company (Cayman) Limited</t>
  </si>
  <si>
    <t>  KBC Bank N.V. (closed)</t>
  </si>
  <si>
    <t>  Kasikornbank Public Company Limited</t>
  </si>
  <si>
    <t>  KeyBank National Association (closed)</t>
  </si>
  <si>
    <t>  Krung Thai Bank Public Company Limited</t>
  </si>
  <si>
    <t>  LGT Bank (Cayman) Ltd.</t>
  </si>
  <si>
    <t>  Landesbank Baden-Württemberg (closed)</t>
  </si>
  <si>
    <t>  Landesbank Hessen-Thuringen Girozentrale</t>
  </si>
  <si>
    <t>  MUFG Alternative Fund Services (Cayman) Limited</t>
  </si>
  <si>
    <t>  MUFG Union Bank, National Association</t>
  </si>
  <si>
    <t>  Manufacturers and Traders Trust Company</t>
  </si>
  <si>
    <t>  Mercantil Bank and Trust Limited (Cayman)</t>
  </si>
  <si>
    <t>  Merrill Lynch Bank and Trust Company (Cayman) Limited</t>
  </si>
  <si>
    <t>  Millennium bcp Bank &amp; Trust</t>
  </si>
  <si>
    <t>  Mitsubishi UFJ Trust and Banking Corporation (closed)</t>
  </si>
  <si>
    <t>  Mizrahi Tefahot Bank Ltd. (closed)</t>
  </si>
  <si>
    <t>  Mizuho Bank, Ltd.</t>
  </si>
  <si>
    <t>  Mizuho Trust &amp; Banking Co. (USA) (closed)</t>
  </si>
  <si>
    <t>  Mizuho do Brasil Cayman Limited</t>
  </si>
  <si>
    <t>  Morval Bank &amp; Trust Cayman Ltd.</t>
  </si>
  <si>
    <t>  Multibank Cayman Inc.</t>
  </si>
  <si>
    <t>  NATIXIS</t>
  </si>
  <si>
    <t>  NCB (Cayman) Limited</t>
  </si>
  <si>
    <t>  Nacional Financiera S.N.C.</t>
  </si>
  <si>
    <t>  National Australia Bank Limited</t>
  </si>
  <si>
    <t>  National Bank of Egypt (closed)</t>
  </si>
  <si>
    <t>  National Bank of Kuwait, Societe Anonyme Kuwaitienne Publique</t>
  </si>
  <si>
    <t>  Norddeutsche Landesbank Girozentrale (closed)</t>
  </si>
  <si>
    <t>  Nordea Bank Finland Plc (closed)</t>
  </si>
  <si>
    <t>  Northern Trust Company (The)</t>
  </si>
  <si>
    <t>  Novo Banco, S.A. (new)</t>
  </si>
  <si>
    <t>  P.T. Bank Pan Indonesia TBK (closed)</t>
  </si>
  <si>
    <t>  PT Bank Rakyat Indonesia (Pesero) TBK</t>
  </si>
  <si>
    <t>  PT. BANK MANDIRI (PERSERO) Tbk</t>
  </si>
  <si>
    <t>  Pictet Bank and Trust (Cayman) Ltd (closed)</t>
  </si>
  <si>
    <t>  Popular Bank Llc, Cayman</t>
  </si>
  <si>
    <t>  Portigon AG (closed)</t>
  </si>
  <si>
    <t>  Queensgate Bank and Trust Company Ltd.</t>
  </si>
  <si>
    <t>  RBC Royal Bank (Cayman) Limited</t>
  </si>
  <si>
    <t>  Rabobank Nederland (closed)</t>
  </si>
  <si>
    <t>  Regions Bank</t>
  </si>
  <si>
    <t>  Republic Bank (Cayman) Limited</t>
  </si>
  <si>
    <t>  Royal Bank of Canada</t>
  </si>
  <si>
    <t>  Royal Bank of Canada Trust Company (Cayman) Limited (closed)</t>
  </si>
  <si>
    <t>  Saad International Bank Limited (closed)</t>
  </si>
  <si>
    <t>  Saadgroup Financial Services Company Limited (closed)</t>
  </si>
  <si>
    <t>  Sackville Bank and Trust Company Limited</t>
  </si>
  <si>
    <t>  Santander Bank, National Association</t>
  </si>
  <si>
    <t>  Schroder Cayman Bank and Trust Company Limited (closed)</t>
  </si>
  <si>
    <t>  Scotiabank &amp; Trust (Cayman) Ltd</t>
  </si>
  <si>
    <t>  Scotiabank Inverlat S.A.</t>
  </si>
  <si>
    <t>  Silicon Valley Bank</t>
  </si>
  <si>
    <t>  Skandinaviska Enskilda Banken</t>
  </si>
  <si>
    <t>  Societe Generale</t>
  </si>
  <si>
    <t>  St. Georges Bank &amp; Trust Company (Cayman) Ltd.</t>
  </si>
  <si>
    <t>  State Street Bank and Trust Company</t>
  </si>
  <si>
    <t>  Sumitomo Mitsui Banking Corporation</t>
  </si>
  <si>
    <t>  Sumitomo Mitsui Trust Bank (U.S.A.) Limited</t>
  </si>
  <si>
    <t>  SunTrust Bank</t>
  </si>
  <si>
    <t>  Svenska Handelsbanken</t>
  </si>
  <si>
    <t>  Swedbank AB (closed)</t>
  </si>
  <si>
    <t>  TD Bank, National Association (closed)</t>
  </si>
  <si>
    <t>  TMB Bank Public Company Limited</t>
  </si>
  <si>
    <t>  Texas Capital Bank, National Association (closed)</t>
  </si>
  <si>
    <t>  Thanachart Bank Public Company Limited</t>
  </si>
  <si>
    <t>  The Bank of New York Mellon</t>
  </si>
  <si>
    <t>  The Bank of Nova Scotia</t>
  </si>
  <si>
    <t>  The Bank of Tokyo-Mitsubishi UFJ, Ltd.</t>
  </si>
  <si>
    <t>  The National Bank of Indianapolis</t>
  </si>
  <si>
    <t>  The Royal Bank of Scotland N.V. (closed)</t>
  </si>
  <si>
    <t>  The Siam Commercial Bank Public Company Limited</t>
  </si>
  <si>
    <t>  Toronto - Dominion Bank (The)</t>
  </si>
  <si>
    <t>  Towerbank, Ltd</t>
  </si>
  <si>
    <t>  Trade and Commerce Bank</t>
  </si>
  <si>
    <t>  Trident Trust Company (Cayman) Limited</t>
  </si>
  <si>
    <t>  U.S. Bank National Association</t>
  </si>
  <si>
    <t>  UBS AG</t>
  </si>
  <si>
    <t>  UniCredit Bank AG (closed)</t>
  </si>
  <si>
    <t>  United Bank for Africa Plc</t>
  </si>
  <si>
    <t>  VBT Bank &amp; Trust, Ltd.</t>
  </si>
  <si>
    <t>  Venezolano De Credito, S.A., Banco Universal</t>
  </si>
  <si>
    <t>  Webster Bank, National Association</t>
  </si>
  <si>
    <t>  Wells Fargo Bank, National Association</t>
  </si>
  <si>
    <t>  Westpac Banking Corporation</t>
  </si>
  <si>
    <t>  Whitney Bank (closed)</t>
  </si>
  <si>
    <t>  Wing Hang Bank (Cayman) Ltd (closed)</t>
  </si>
  <si>
    <t>  Wing Lung Bank Ltd.</t>
  </si>
  <si>
    <t>  Zions First National Bank (closed)</t>
  </si>
  <si>
    <t>Catalan</t>
  </si>
  <si>
    <t>BVI</t>
  </si>
  <si>
    <t xml:space="preserve"> Guernsey</t>
  </si>
  <si>
    <t>UAE Dubai</t>
  </si>
  <si>
    <t>UAE RAK</t>
  </si>
  <si>
    <t>English, Bajan Creole</t>
  </si>
  <si>
    <t>English</t>
  </si>
  <si>
    <t>English, Cayman Islands English</t>
  </si>
  <si>
    <t>Greek, Turkish</t>
  </si>
  <si>
    <t>Arabic</t>
  </si>
  <si>
    <t>English, Irish, Ulster Scots</t>
  </si>
  <si>
    <t>Lithuanian</t>
  </si>
  <si>
    <t>Maltese, Maltese Sign Language, English, Italian</t>
  </si>
  <si>
    <t>English, French, Malay, Chinese, Tamil, 84% Creole (de facto), 5.3% Bhojpuri-Hindustani, 3.6% French, 7.1% Others (including English and Chinese)</t>
  </si>
  <si>
    <t>West Frisian, Papiamento, English, Limburgish, Dutch Low Saxon</t>
  </si>
  <si>
    <t>English, Malay, Mandarin, Tamil, Roman (Latin), Simplified Chinese, Tamil</t>
  </si>
  <si>
    <t>German, French, Italian, Romansh</t>
  </si>
  <si>
    <t>Spoken_Languages</t>
  </si>
  <si>
    <t>Free_Mobile</t>
  </si>
  <si>
    <t>Airport</t>
  </si>
  <si>
    <t>Address</t>
  </si>
  <si>
    <t>Situated_In_The_Capital_?</t>
  </si>
  <si>
    <t>Death_Penalty</t>
  </si>
  <si>
    <t xml:space="preserve"> Guernesey</t>
  </si>
  <si>
    <t>Guernesey Tax Information Exchange Agreements</t>
  </si>
  <si>
    <t>Type_Of_Account</t>
  </si>
  <si>
    <t>Annual_Fees_€</t>
  </si>
  <si>
    <t>Registry_Of_Commerce</t>
  </si>
  <si>
    <t>Bahamas_IBC</t>
  </si>
  <si>
    <t>1 Sky Plaza Rd, Chek Lap Kok, Hong Kong</t>
  </si>
  <si>
    <t>Aéroport international de Hong Kong</t>
  </si>
  <si>
    <t>Bank AL Habib</t>
  </si>
  <si>
    <t>Bank of Baroda</t>
  </si>
  <si>
    <t>Bank of Ceylon</t>
  </si>
  <si>
    <t>Barclays Bank</t>
  </si>
  <si>
    <t>Wittelsbach Princely Trust Bank</t>
  </si>
  <si>
    <t>BMI Offshore Bank</t>
  </si>
  <si>
    <t>Habib Bank</t>
  </si>
  <si>
    <t>Mauritius Commercial Bank</t>
  </si>
  <si>
    <t>Nouvobanq</t>
  </si>
  <si>
    <t>Seychelles Commercial Bank</t>
  </si>
  <si>
    <t>Inflation_Rate_[%]</t>
  </si>
  <si>
    <t>Members</t>
  </si>
  <si>
    <t>5th June Ave, Mahé, Anse des Genets, Seychelles</t>
  </si>
  <si>
    <t>A10 Royal Road, Plaine Magnien, Maurice</t>
  </si>
  <si>
    <t>Mauritius_Airport</t>
  </si>
  <si>
    <t>Seychelles_Airport</t>
  </si>
  <si>
    <t>Population_[Millions]</t>
  </si>
  <si>
    <t>Social_Security_Rate_For_Corporations_[%]</t>
  </si>
  <si>
    <t>Social_Security_Rate_For_Employees_[%]</t>
  </si>
  <si>
    <t>Land_Area_[km^2]</t>
  </si>
  <si>
    <t>How_To_Become_Permanent_Resident_?</t>
  </si>
  <si>
    <t>RFID_Chip_Required_?</t>
  </si>
  <si>
    <t>Sales_Tax_Rate_[%]</t>
  </si>
  <si>
    <t>Aéroport Andorre–La Seu d'Urgell</t>
  </si>
  <si>
    <t>Aeroport Andorra - La Seu, s/n, 25711 Montferrer, Lérida, Espagne</t>
  </si>
  <si>
    <t>Lynden Pindling International Airport</t>
  </si>
  <si>
    <t>Nassau</t>
  </si>
  <si>
    <t>Grantley Adams International Airport</t>
  </si>
  <si>
    <t>Seawell, Christ Church</t>
  </si>
  <si>
    <t>Philip S. W. Goldson International Airport</t>
  </si>
  <si>
    <t>Ladyville</t>
  </si>
  <si>
    <t>L.F. Wade International Airport</t>
  </si>
  <si>
    <t>St. David's Island</t>
  </si>
  <si>
    <t xml:space="preserve"> Terrance B. Lettsome International Airport</t>
  </si>
  <si>
    <t>Beef Island / Tortola</t>
  </si>
  <si>
    <t>Owen Roberts International Airport</t>
  </si>
  <si>
    <t xml:space="preserve"> George Town, Grand Cayman</t>
  </si>
  <si>
    <t>Nicosia International Airport</t>
  </si>
  <si>
    <t>Nicosia</t>
  </si>
  <si>
    <t>Cairo International Airport</t>
  </si>
  <si>
    <t>Le Caire</t>
  </si>
  <si>
    <t>Aéroport international de Gibraltar</t>
  </si>
  <si>
    <t>British Lines Road, GX11 1AA, Gibraltar</t>
  </si>
  <si>
    <t>Guernsey Airport</t>
  </si>
  <si>
    <t>Forest, Guernsey</t>
  </si>
  <si>
    <t>Dublin Airport</t>
  </si>
  <si>
    <t>Dublin</t>
  </si>
  <si>
    <t>Isle of Man Airport; Ronaldsway Airport</t>
  </si>
  <si>
    <t>Ronaldsway, Malew, Isle of Man</t>
  </si>
  <si>
    <t>Aéroport de Jersey</t>
  </si>
  <si>
    <t>St Peter JE1 1BY, Jersey</t>
  </si>
  <si>
    <t>No airport</t>
  </si>
  <si>
    <t>-</t>
  </si>
  <si>
    <t>Vilnius International Airport</t>
  </si>
  <si>
    <t>Vilnius</t>
  </si>
  <si>
    <t>Aéroport de Luxembourg-Findel</t>
  </si>
  <si>
    <t>Luxembourg City</t>
  </si>
  <si>
    <t>Aéroport international de Malte</t>
  </si>
  <si>
    <t>Luqa LQA 4000, Malte</t>
  </si>
  <si>
    <t>Amsterdam Airport Schiphol</t>
  </si>
  <si>
    <t>Amsterdam / Haarlemmermeer</t>
  </si>
  <si>
    <t>Tocumen International Airport</t>
  </si>
  <si>
    <t>Panama City</t>
  </si>
  <si>
    <t>Singapore Changi Airport / Changi Air Base</t>
  </si>
  <si>
    <t xml:space="preserve"> Changi, Singapore</t>
  </si>
  <si>
    <t>Bern Airport</t>
  </si>
  <si>
    <t>Berne</t>
  </si>
  <si>
    <t>Aéroport international de Dubaï</t>
  </si>
  <si>
    <t>Dubaï - Émirats arabes unis</t>
  </si>
  <si>
    <t>Aéroport international de Ras el Khaïmah</t>
  </si>
  <si>
    <t>North Ras Al Khaimah - Émirats arabes unis</t>
  </si>
  <si>
    <t>Highest_Personal_Income_Tax_[%]</t>
  </si>
  <si>
    <t>P_O_Box_Company</t>
  </si>
  <si>
    <t>Telephone</t>
  </si>
  <si>
    <t>Avearge_Annual_Precipitation_[mm]</t>
  </si>
  <si>
    <t>Social Security: 4,5 ; National Health Insurance: 3,75</t>
  </si>
  <si>
    <t>Social Scurity: 4 ; National Health Insurance: 3,75</t>
  </si>
  <si>
    <t>GIP 36,50 per week</t>
  </si>
  <si>
    <t>GIP 27,50 per week</t>
  </si>
  <si>
    <t>6.5% on earnings up to £4,180 per month, plus an additional 2% on earnings over £4,180 and under £13,828 per month</t>
  </si>
  <si>
    <t>Annual_Fees</t>
  </si>
  <si>
    <t>1% of $500,000</t>
  </si>
  <si>
    <t>0.75% on excess BB$1,250,000</t>
  </si>
  <si>
    <t>Between 1 - 1.5% of the assessed value</t>
  </si>
  <si>
    <t>Up to an ARV of $11,000 = land tax of 0.6%; Annual Rental Value over 110,000 = land tax of 19.2%</t>
  </si>
  <si>
    <t>Unemployment_Rate_In_2017_[%]</t>
  </si>
  <si>
    <t>Email_Of_City_Hall_Of_Capital</t>
  </si>
  <si>
    <t>Email_Envoye_?</t>
  </si>
  <si>
    <t>Date_Envoi</t>
  </si>
  <si>
    <t>Annual_Balance_Of_Trade_[Currency_Million]</t>
  </si>
  <si>
    <t>Average_Price_Of_Square_Meter_[Currency]</t>
  </si>
  <si>
    <t>Average_Price_Of_Square_Meter_[€]</t>
  </si>
  <si>
    <t>Average house prices rose from £265,809</t>
  </si>
  <si>
    <t>Average house prices rose from 293 780,60€</t>
  </si>
  <si>
    <t>Average mean prices of around £ 210 000</t>
  </si>
  <si>
    <t>Average mean prices of around 232 098,71€</t>
  </si>
  <si>
    <t>Registration</t>
  </si>
  <si>
    <t>Registered_Office</t>
  </si>
  <si>
    <t>Registered_Agent</t>
  </si>
  <si>
    <t>Local_Secretary</t>
  </si>
  <si>
    <t>Tax_Return</t>
  </si>
  <si>
    <t>VAT_Return</t>
  </si>
  <si>
    <t>Stamp_Duty</t>
  </si>
  <si>
    <t>Recognized_Auditor</t>
  </si>
  <si>
    <t>Accountant</t>
  </si>
  <si>
    <t>Lawyer</t>
  </si>
  <si>
    <t>P_O_Box</t>
  </si>
  <si>
    <t>Virtual_Office</t>
  </si>
  <si>
    <t>Cambra de Comerç, Indústria i Serveis d'Andorra</t>
  </si>
  <si>
    <t>Carrer Prat de la Creu, 8, AD500 Andorra la Vella, Andorre</t>
  </si>
  <si>
    <t>Bahamas Chamber of Industry and Commerce</t>
  </si>
  <si>
    <t xml:space="preserve">
Shirley Street &amp; Collins Avenue P.O. Box N-665 Nassau Bahamas</t>
  </si>
  <si>
    <t>Braemar Court, Deighton Road, St. Michael Barbados</t>
  </si>
  <si>
    <t>Barbados Chamber of Commerce &amp; Industry</t>
  </si>
  <si>
    <t>BELIZE CHAMBER OF COMMERCE AND INDUSTRY</t>
  </si>
  <si>
    <t>P.O. Box 291 4792 Coney Drive First Floor, Withfield Tower Belize City, Belize Central America</t>
  </si>
  <si>
    <t>30 Parliament Street Hamilton HM 12 Bermuda</t>
  </si>
  <si>
    <t>Registrar of Companies of Bermuda</t>
  </si>
  <si>
    <t>British Virgin Islands Financial Services Commission</t>
  </si>
  <si>
    <t>Pasea Estate P.O. Box 418 Road Town, Tortola, VG 1110 British Virgin Islands</t>
  </si>
  <si>
    <t>Cayman Islands Chamber of Commerce</t>
  </si>
  <si>
    <t>23 Lime Tree Bay Avenue, West Bay Road Governors Square, KY1-1102, Îles Caïmans</t>
  </si>
  <si>
    <t>Ministère de l'énergie, du commerce, de l'industrie et du tourisme, Andreas Araouzou 6, Nicosie, Chypre</t>
  </si>
  <si>
    <t>Département deEnergie,Commerce,Industrie etTourisme, CY-1421, Nicosie, Chypre</t>
  </si>
  <si>
    <t>Cairo Chamber of Commerce</t>
  </si>
  <si>
    <t>92 El Tahrir, Ad Dawawin, Abdeen, Cairo Governorate, Égypte</t>
  </si>
  <si>
    <t>Gibraltar Chamber Of Commerce</t>
  </si>
  <si>
    <t>Watergate House 2/6 Casemates Gibraltar</t>
  </si>
  <si>
    <t>Guernsey Registry</t>
  </si>
  <si>
    <t>Market Building PO Box 451 Fountain Street St Peter Port Guernsey GY1 3GX Channel Islands</t>
  </si>
  <si>
    <t>14th floor, High Block, Queensway Government Offices, 66 Queensway, Hong Kong</t>
  </si>
  <si>
    <t>Hong Kong Companies Registry</t>
  </si>
  <si>
    <t>Companies Registration Office Ireland</t>
  </si>
  <si>
    <t>Bloom House, Gloucester Place Lower, Dublin 1, D01 C8P4</t>
  </si>
  <si>
    <t>I O M Chamber of Commerce</t>
  </si>
  <si>
    <t>21 Athol St, Douglas IM1 1LB</t>
  </si>
  <si>
    <t>Jersey Chamber of Commerce</t>
  </si>
  <si>
    <t>25 Pier Rd, St Helier JE1 4HF, Jersey</t>
  </si>
  <si>
    <t>Liechensteinische Industrie- und Handelskammer (LIHK)</t>
  </si>
  <si>
    <t>Altenbach 8, 9490 Vaduz, Liechtenstein</t>
  </si>
  <si>
    <t xml:space="preserve">State Enterprise Centre of Registers </t>
  </si>
  <si>
    <t>Vinco Kudirkos g. 18-3, LT-03105 Vilnius, LITHUANIA</t>
  </si>
  <si>
    <t>14, rue Erasme L-1468 Luxembourg</t>
  </si>
  <si>
    <t>Registre de commerce et des societes</t>
  </si>
  <si>
    <t>Malta Chamber of Commerce</t>
  </si>
  <si>
    <t>64 Republic St, Valletta, Malte</t>
  </si>
  <si>
    <t xml:space="preserve">
The Mauritius Chamber of Commerce and Industry</t>
  </si>
  <si>
    <t>2nd Floor, Anglo-Mauritius House, 6, Adolphe de Plevitz Street, Port Louis, Mauritius</t>
  </si>
  <si>
    <t>Chambre de commerce d'Amsterdam</t>
  </si>
  <si>
    <t>De Ruijterkade 5  ,1013 AA  Amsterdam</t>
  </si>
  <si>
    <t>Vía España, Panamá, Panama</t>
  </si>
  <si>
    <t>Seychelles Chamber Of Commerce &amp; Industry</t>
  </si>
  <si>
    <t>Registro publico de panama</t>
  </si>
  <si>
    <t>H.I.S House, Providence Industrial Estate, Victoria, Mahe, Seychelles</t>
  </si>
  <si>
    <t>Singapore International Chamber of Commerce</t>
  </si>
  <si>
    <t>6 Raffles Quay #10-01 Singapore 048580</t>
  </si>
  <si>
    <t>Handelsregisteramt des Kantons Bern</t>
  </si>
  <si>
    <t>Gerechtigkeitsgasse 36 Postfach 627 3000 Bern 8</t>
  </si>
  <si>
    <t>Dubai Chamber of Commerce &amp; Industry</t>
  </si>
  <si>
    <t>Baniyas Road, Deira P.O. Box 1457 – Dubai, U.A.E</t>
  </si>
  <si>
    <t>RAK International Corporate Centre</t>
  </si>
  <si>
    <t>Floor 8, Post Box #30099, RAKBANK Headquarters, Government of Ras Al Khaimah, Ras Al Khaimah, United Arab Emirates</t>
  </si>
  <si>
    <t>No Property Tax</t>
  </si>
  <si>
    <t>See the comments</t>
  </si>
  <si>
    <t>Property_Tax</t>
  </si>
  <si>
    <t>Per square metre of surface area of land: MUR10 (US$0.27) ; Per square metre of floor area of flats:  MUR30 (US$0.97)</t>
  </si>
  <si>
    <t>The tariffs (owner and user tariff) for the real estate taxes are typically between 0.1% and 0.3% of the property value.</t>
  </si>
  <si>
    <t>There are no property taxes in the islands.</t>
  </si>
  <si>
    <t>The rates usually range from 0.05% to 0.3%, levied on the value of the property.</t>
  </si>
  <si>
    <t>There are no property taxes in Dubai.</t>
  </si>
  <si>
    <t>Net_Worth_Tax</t>
  </si>
  <si>
    <t>Capital_Gains_Tax_Rate_[%]</t>
  </si>
  <si>
    <t>Capital_Losses_Carry_Forward_?</t>
  </si>
  <si>
    <t>See the comments - 20 years</t>
  </si>
  <si>
    <t>Virtual_Office_Company</t>
  </si>
  <si>
    <t>Reception_Address</t>
  </si>
  <si>
    <t>Total</t>
  </si>
  <si>
    <t>Email_Address</t>
  </si>
  <si>
    <t>MailNetwork</t>
  </si>
  <si>
    <t>info@mailnetwork.com</t>
  </si>
  <si>
    <t xml:space="preserve"> 00 1 888 248 6245</t>
  </si>
  <si>
    <t>The General Post Office</t>
  </si>
  <si>
    <t>Reef road, Bridgetown, Barbade</t>
  </si>
  <si>
    <t xml:space="preserve">barbadospost@caribsurf.com
</t>
  </si>
  <si>
    <t>00 1 246 535-3900</t>
  </si>
  <si>
    <t>Belize Postal Service</t>
  </si>
  <si>
    <t>150 North Front Street, Belize City, Belize</t>
  </si>
  <si>
    <t>00 501 227 2201</t>
  </si>
  <si>
    <t>secretary@belizepostalservice.gov.bz</t>
  </si>
  <si>
    <t>00 1 441 292 6563</t>
  </si>
  <si>
    <t>48 Par - La - Ville Road, Hamilton, Bermuda, HM11</t>
  </si>
  <si>
    <t>asa@mailboxesunlimited.com</t>
  </si>
  <si>
    <t>Mailboxes Unlimited</t>
  </si>
  <si>
    <t>Highest_Annual_Fees_For_Private_Person</t>
  </si>
  <si>
    <t>Cayman Islands Postal Service</t>
  </si>
  <si>
    <t>info@caymanpost.gov.ky</t>
  </si>
  <si>
    <t>00 1 345949 2474</t>
  </si>
  <si>
    <t>George Town Post Office 14 Edward Street, Grand Cayman, Cayman Islands Ky1-1100</t>
  </si>
  <si>
    <t>Cyprus Post</t>
  </si>
  <si>
    <t>100, Prodromou Street, 2063 Strovolos</t>
  </si>
  <si>
    <t>00 357 77 77 80 13</t>
  </si>
  <si>
    <t>registry@dps.mcw.gov.cy</t>
  </si>
  <si>
    <t>Egypt Post</t>
  </si>
  <si>
    <t>00 20 23 53 15 90 0</t>
  </si>
  <si>
    <t>Al Seka Al Hadid, Mansheya El-Bakry, Heliopolis, Cairo Governorate, Égypte</t>
  </si>
  <si>
    <t>Contact us</t>
  </si>
  <si>
    <t>Royal Gibraltar Post Office</t>
  </si>
  <si>
    <t>Royal Gibraltar Post Office Postal Headquarters 104 Main Street GX11 1AA GIBRALTAR</t>
  </si>
  <si>
    <t>00 350 200 75714</t>
  </si>
  <si>
    <t>cco@post.gi</t>
  </si>
  <si>
    <t xml:space="preserve"> Guernsey Post Office</t>
  </si>
  <si>
    <t>custserv@​guernseypost.com</t>
  </si>
  <si>
    <t>00 44 1481 711720</t>
  </si>
  <si>
    <t>Guernsey Post Ltd Envoy House La Vrangue St Peter Port GUERNSEY GY1 1AA</t>
  </si>
  <si>
    <t>Hong Kong Post Office</t>
  </si>
  <si>
    <t>Revenue Tower, 5 Gloucester Rd, Wan Chai, Hong Kong</t>
  </si>
  <si>
    <t>00 852 2877 0929</t>
  </si>
  <si>
    <t>hkpo@hkpo.gov.hk</t>
  </si>
  <si>
    <t>Nethouse</t>
  </si>
  <si>
    <t>NetHouse, 113 Lower Rathmines Road, Dublin 6, Ireland</t>
  </si>
  <si>
    <t>00 353 1-49-66-408</t>
  </si>
  <si>
    <t>Isle Of Man Post Office</t>
  </si>
  <si>
    <t>Isle of Man Post Office Postal Headquarters Spring Valley Industrial Estate Douglas, IM2 1AA</t>
  </si>
  <si>
    <t>Internet_Account_To_See_All_Mails_?</t>
  </si>
  <si>
    <t>customer.services@iompost.com</t>
  </si>
  <si>
    <t>00 44 16 24 66 46 64</t>
  </si>
  <si>
    <t>Jersey Post</t>
  </si>
  <si>
    <t>00 44 15 34 61 65 90</t>
  </si>
  <si>
    <t>Jersey Post 
Postal Headquarters 
JERSEY 
JE1 1AA</t>
  </si>
  <si>
    <t>customerservices@jerseypost.com</t>
  </si>
  <si>
    <t>Lithuania Post</t>
  </si>
  <si>
    <t>AB Lietuvos paštas J. Jasinskio g. 16, 03500 Vilnius</t>
  </si>
  <si>
    <t>info@post.lt</t>
  </si>
  <si>
    <t>00 370 8 700 55 400</t>
  </si>
  <si>
    <t>Type_Of_Company_/_Annual_Fees</t>
  </si>
  <si>
    <t>Taxation_On_Foreign_Income_[%]</t>
  </si>
  <si>
    <t>Malta Post</t>
  </si>
  <si>
    <t>MaltaPost p.l.c Customer Care Department 305, Triq Hal-Qormi, Marsa  MTP 1001</t>
  </si>
  <si>
    <t xml:space="preserve">info@maltapost.com </t>
  </si>
  <si>
    <t>21 22 44 21</t>
  </si>
  <si>
    <t>Mauritius Post</t>
  </si>
  <si>
    <t>Attn. OIC. Boxes The Mauritius Post Ltd 3, Dumas Street Port Louis</t>
  </si>
  <si>
    <t>marketing@mauritiuspost.mu</t>
  </si>
  <si>
    <t>(230) 208 2851</t>
  </si>
  <si>
    <t>Key_Deposit</t>
  </si>
  <si>
    <t>088 - 22 55 555</t>
  </si>
  <si>
    <t>Post NL</t>
  </si>
  <si>
    <t>Postbox 99180 8900 NA Leeuwarden</t>
  </si>
  <si>
    <t>Seychelles Postal Services</t>
  </si>
  <si>
    <t>seypost@seychelles.net</t>
  </si>
  <si>
    <t>42 88 55 5</t>
  </si>
  <si>
    <t>Seychelles Postal Services P.O.Box 60, Victoria, Mahé, Seychelles</t>
  </si>
  <si>
    <t>Singapore Post</t>
  </si>
  <si>
    <t>Singapore Post Limited 10 Eunos Road 8 Singapore Post Centre Singapore 408600</t>
  </si>
  <si>
    <t>00 65 6841 2000</t>
  </si>
  <si>
    <t>Chat with us</t>
  </si>
  <si>
    <t>Swiss Post</t>
  </si>
  <si>
    <t xml:space="preserve">00 41 848 888 888 </t>
  </si>
  <si>
    <t>Poste CH SA Contact Center Poste Wankdorfallee 4 3030 Berne</t>
  </si>
  <si>
    <t>Emirates Post Group</t>
  </si>
  <si>
    <t>custservice@epg.gov.ae</t>
  </si>
  <si>
    <t>Marrakech Street, Garhoud, Next to Al Mawakeb School POBOX: 99999 Dubai, United Arab Emirates</t>
  </si>
  <si>
    <t xml:space="preserve">00 971 4 230 3000 </t>
  </si>
  <si>
    <t xml:space="preserve">1 971 4 230 3000 </t>
  </si>
  <si>
    <t>See the comments - 16 years</t>
  </si>
  <si>
    <t>See the comments - 1 year</t>
  </si>
  <si>
    <t>How_To_Become_Citizen_?</t>
  </si>
  <si>
    <t>See the comments - 9 years</t>
  </si>
  <si>
    <t>See the comments - 2 years</t>
  </si>
  <si>
    <t>See the comments - 3 years</t>
  </si>
  <si>
    <t>See the comments - 0 years</t>
  </si>
  <si>
    <t>See the comments - 6 years</t>
  </si>
  <si>
    <t>See the comments - 7 years</t>
  </si>
  <si>
    <t>See the comments - 5 years</t>
  </si>
  <si>
    <t>See the comments - Investors</t>
  </si>
  <si>
    <t>See the comments - Buy purchasing real estate</t>
  </si>
  <si>
    <t>Email</t>
  </si>
  <si>
    <t>Highest_Annual_Fees</t>
  </si>
  <si>
    <t>How_To_Get_Driver_License_?</t>
  </si>
  <si>
    <t>Andbank</t>
  </si>
  <si>
    <t>Banc Sabadell d'Andorra ('A)</t>
  </si>
  <si>
    <t>Banca Privada d'Andorra (BPA), under resolution.</t>
  </si>
  <si>
    <t>Crèdit Andorrà</t>
  </si>
  <si>
    <t>MoraBanc</t>
  </si>
  <si>
    <t>Mora Banc Grup</t>
  </si>
  <si>
    <t>Vall Banc, created May 2016, inherits BPA assets.</t>
  </si>
  <si>
    <t>Societe Generale Private Banking</t>
  </si>
  <si>
    <t>The Winterbotham Trust Company</t>
  </si>
  <si>
    <t>Finter Bank Zurich</t>
  </si>
  <si>
    <t>UBS</t>
  </si>
  <si>
    <t>Guaranty Trust Bank Limited</t>
  </si>
  <si>
    <t>Cornèr Bank Ltd.</t>
  </si>
  <si>
    <t>Lombard Odier</t>
  </si>
  <si>
    <t>The Private Trust Corporation</t>
  </si>
  <si>
    <t>Citco</t>
  </si>
  <si>
    <t>Credit Suisse</t>
  </si>
  <si>
    <t>Hottinger</t>
  </si>
  <si>
    <t>Bank of the Bahamas</t>
  </si>
  <si>
    <t>Fidelity Bank</t>
  </si>
  <si>
    <t>Amphora Bank &amp; Trust Corporation</t>
  </si>
  <si>
    <t>J&amp;T Bank and Trust</t>
  </si>
  <si>
    <t>Cidel</t>
  </si>
  <si>
    <t>CIBC FirstCaribbean</t>
  </si>
  <si>
    <t>Scotiabank</t>
  </si>
  <si>
    <t>CIBC Private Wealth Management</t>
  </si>
  <si>
    <t>RBC Wealth Management</t>
  </si>
  <si>
    <t>Amicorp Bank</t>
  </si>
  <si>
    <t>Choice Bank Limited</t>
  </si>
  <si>
    <t>Heritage Bank Limited</t>
  </si>
  <si>
    <t>Belize Bank International</t>
  </si>
  <si>
    <t>Caye International Bank LTD.</t>
  </si>
  <si>
    <t>Atlantic International Bank</t>
  </si>
  <si>
    <t>International Caye Bank</t>
  </si>
  <si>
    <t>HSBC</t>
  </si>
  <si>
    <t>Clarien Bank</t>
  </si>
  <si>
    <t>Bermuda Commercial Bank</t>
  </si>
  <si>
    <t>Butterfield</t>
  </si>
  <si>
    <t>Scotiabank British Virgin Islands</t>
  </si>
  <si>
    <t>VP Bank</t>
  </si>
  <si>
    <t>FirstBank VI</t>
  </si>
  <si>
    <t>Popular Community Bank</t>
  </si>
  <si>
    <t>USB Bank</t>
  </si>
  <si>
    <t>Ancoria Bank</t>
  </si>
  <si>
    <t>Eurobank EFG</t>
  </si>
  <si>
    <t>Expobank</t>
  </si>
  <si>
    <t>Hellenic Bank</t>
  </si>
  <si>
    <t>Bank of Cyprus</t>
  </si>
  <si>
    <t>Alpha Bank</t>
  </si>
  <si>
    <t>National Bank of Greece</t>
  </si>
  <si>
    <t>1. Al Ahli Bank Of Kuwait (ABK-Egypt)</t>
  </si>
  <si>
    <t>2. Banque du Caire</t>
  </si>
  <si>
    <t>3. Egyptian Arab Land Bank</t>
  </si>
  <si>
    <t>4. National Bank of Egypt</t>
  </si>
  <si>
    <t>5. Agricultural Bank of Egypt</t>
  </si>
  <si>
    <t>6. Bank of Alexandria</t>
  </si>
  <si>
    <t>7. Misr Iran Development Bank</t>
  </si>
  <si>
    <t>8. Commercial International Bank (CIB)</t>
  </si>
  <si>
    <t>9. Industrial Development &amp; Workers Bank of Egypt</t>
  </si>
  <si>
    <t>10. Société Arabe Internationale de Banque (SAIB)</t>
  </si>
  <si>
    <t>11. Blom Bank</t>
  </si>
  <si>
    <t>12. Credit Agricole Egypt</t>
  </si>
  <si>
    <t>13. Emirates NBD</t>
  </si>
  <si>
    <t>14. Suez Canal Bank</t>
  </si>
  <si>
    <t>15. Qatar National Bank Al Ahli (QNB Alahli)</t>
  </si>
  <si>
    <t>16. Banque Misr</t>
  </si>
  <si>
    <t>17. Bank Audi</t>
  </si>
  <si>
    <t>18. Ahli United Bank</t>
  </si>
  <si>
    <t>19. Faisal Islamic Bank of Egypt</t>
  </si>
  <si>
    <t>20. Housing and Development Bank</t>
  </si>
  <si>
    <t>21. Al Baraka Bank of Egypt</t>
  </si>
  <si>
    <t>22. National Bank of Kuwait - Egypt (NBK-Egypt)</t>
  </si>
  <si>
    <t>23. Abu Dhabi Islamic Bank (ADIB)</t>
  </si>
  <si>
    <t>24. Union National Bank Egypt (UNB-E)</t>
  </si>
  <si>
    <t>25. Egyptian Gulf Bank (EG BANK)</t>
  </si>
  <si>
    <t>26. Arab African International Bank</t>
  </si>
  <si>
    <t>27. HSBC Bank Egypt</t>
  </si>
  <si>
    <t>28. Arab Banking Corporation</t>
  </si>
  <si>
    <t>29. Export Development Bank of Egypt</t>
  </si>
  <si>
    <t>30. The United Bank of Egypt</t>
  </si>
  <si>
    <t>31. National Bank of Abu Dhabi</t>
  </si>
  <si>
    <t>32. Citibank</t>
  </si>
  <si>
    <t>33. Arab Bank Plc.</t>
  </si>
  <si>
    <t>34. Mashreq Bank</t>
  </si>
  <si>
    <t>35. National Bank of Greece</t>
  </si>
  <si>
    <t>36. Arab International Bank</t>
  </si>
  <si>
    <t>37. Arab Investment Bank (AIBK)</t>
  </si>
  <si>
    <t>38. Attijariwafa Bank Egypt</t>
  </si>
  <si>
    <t>39. ABC Bank</t>
  </si>
  <si>
    <t>IDT Finance</t>
  </si>
  <si>
    <t>Jyske Bank</t>
  </si>
  <si>
    <t>Barclays</t>
  </si>
  <si>
    <t>Bank J. Safra</t>
  </si>
  <si>
    <t>Lloyds TSB</t>
  </si>
  <si>
    <t>EFG International</t>
  </si>
  <si>
    <t>RBS International</t>
  </si>
  <si>
    <t>ABN Amro (Guernsey) Limited</t>
  </si>
  <si>
    <t>Bank J. Safra Sarasin Limited, Guernsey Branch</t>
  </si>
  <si>
    <t>Bank Julius Baer &amp; Co. Ltd, Guernsey Branch</t>
  </si>
  <si>
    <t>Bank of Cyprus (Channel Islands)</t>
  </si>
  <si>
    <t>Banque cantonale vaudoise, Guernsey Branch</t>
  </si>
  <si>
    <t>Barclays Bank PLC, Guernsey Branch</t>
  </si>
  <si>
    <t>Barclays Private Clients International Limited, Guernsey Branch</t>
  </si>
  <si>
    <t>BNP Paribas (Suisse) SA, Guernsey Branch</t>
  </si>
  <si>
    <t>BNP Paribas Securities Services Custody Bank Limited, Guernsey Branch</t>
  </si>
  <si>
    <t>Butterfield Bank (Guernsey) Limited</t>
  </si>
  <si>
    <t>Credit Suisse (Channel Islands) Limited</t>
  </si>
  <si>
    <t>Credit Suisse A.G., Guernsey Branch</t>
  </si>
  <si>
    <t>Deutsche Bank International Limited - Guernsey Branch</t>
  </si>
  <si>
    <t>EFG Private Bank (Channel Islands) Limited</t>
  </si>
  <si>
    <t>HSBC Bank Plc, Guernsey Branch</t>
  </si>
  <si>
    <t>HSBC Private Bank (C.I.) Limited</t>
  </si>
  <si>
    <t>HSBC Private Bank (Suisse) S.A., Guernsey Branch</t>
  </si>
  <si>
    <t>Investec Bank (Channel Islands) Limited</t>
  </si>
  <si>
    <t>Kleinwort Benson (Channel Islands) Limited</t>
  </si>
  <si>
    <t>Lloyds Bank International Limited - Guernsey Branch</t>
  </si>
  <si>
    <t>Northern Trust (Guernsey) Limited</t>
  </si>
  <si>
    <t>Rothschild Bank (CI) Limited</t>
  </si>
  <si>
    <t>Rothschild Bank International Limited</t>
  </si>
  <si>
    <t>Royal Bank of Canada (Channel Islands) Limited</t>
  </si>
  <si>
    <t>Royal Bank of Scotland International Limited, Guernsey Branch</t>
  </si>
  <si>
    <t>Schroders (C.I.) Limited</t>
  </si>
  <si>
    <t>SG Hambros Bank (Channel Islands) Limited - Guernsey Branch</t>
  </si>
  <si>
    <t>Skipton Guernsey</t>
  </si>
  <si>
    <t>ABC BANKING CORPORATION LTD</t>
    <phoneticPr fontId="7" type="noConversion"/>
  </si>
  <si>
    <t>ASHIKAGA BANK, LTD. (THE)</t>
    <phoneticPr fontId="7" type="noConversion"/>
  </si>
  <si>
    <t>BANCO POPOLARE- SOCIETA' COOPERATIVA</t>
    <phoneticPr fontId="7" type="noConversion"/>
  </si>
  <si>
    <t>BANCO SECURITY</t>
    <phoneticPr fontId="7" type="noConversion"/>
  </si>
  <si>
    <t>BANK OF BEIJING CO., LTD.</t>
    <phoneticPr fontId="7" type="noConversion"/>
  </si>
  <si>
    <t>BANK OF DONGGUAN CO., LTD.</t>
    <phoneticPr fontId="7" type="noConversion"/>
  </si>
  <si>
    <t>BANK OF FUKUOKA, LTD. (THE)</t>
  </si>
  <si>
    <t>BANK OF KYOTO, LTD. (THE)</t>
  </si>
  <si>
    <t>BANK OF YOKOHAMA LTD. (THE)</t>
  </si>
  <si>
    <t>BANQUE CANTONALE DE GENÈVE</t>
    <phoneticPr fontId="7" type="noConversion"/>
  </si>
  <si>
    <t>BANQUE TRANSATLANTIQUE S.A.</t>
    <phoneticPr fontId="7" type="noConversion"/>
  </si>
  <si>
    <t>CAIXABANK S.A.</t>
    <phoneticPr fontId="7" type="noConversion"/>
  </si>
  <si>
    <t>CHINA BOHAI BANK CO., LTD.</t>
    <phoneticPr fontId="7" type="noConversion"/>
  </si>
  <si>
    <t>CHINA GUANGFA BANK CO., LTD.</t>
    <phoneticPr fontId="7" type="noConversion"/>
  </si>
  <si>
    <t>CLEARSTREAM BANKING S.A.</t>
  </si>
  <si>
    <t>CORPORATION BANK</t>
    <phoneticPr fontId="7" type="noConversion"/>
  </si>
  <si>
    <t>DOHA BANK Q.S.C.</t>
    <phoneticPr fontId="7" type="noConversion"/>
  </si>
  <si>
    <t>DUKASCOPY BANK SA</t>
    <phoneticPr fontId="7" type="noConversion"/>
  </si>
  <si>
    <t>EXPORT-IMPORT BANK OF CHINA (THE)</t>
    <phoneticPr fontId="7" type="noConversion"/>
  </si>
  <si>
    <t xml:space="preserve">   ALSO KNOWN AS: CHINA EXIM BANK</t>
    <phoneticPr fontId="7" type="noConversion"/>
  </si>
  <si>
    <t>HABIB BANK A.G. ZURICH</t>
  </si>
  <si>
    <t>HSH NORDBANK AG</t>
  </si>
  <si>
    <t>HUA XIA BANK CO., LIMITED</t>
    <phoneticPr fontId="7" type="noConversion"/>
  </si>
  <si>
    <t>JAPAN POST BANK CO., LTD.</t>
    <phoneticPr fontId="7" type="noConversion"/>
  </si>
  <si>
    <t>JIH SUN INTERNATIONAL BANK, LTD.</t>
    <phoneticPr fontId="7" type="noConversion"/>
  </si>
  <si>
    <t>KOREA DEVELOPMENT BANK (THE)</t>
  </si>
  <si>
    <t>MANULIFE BANK OF CANADA</t>
    <phoneticPr fontId="7" type="noConversion"/>
  </si>
  <si>
    <t>METROPOLITAN BANK AND TRUST COMPANY</t>
  </si>
  <si>
    <t>NANTO BANK, LTD. (THE)</t>
  </si>
  <si>
    <t>NATIONAL BANK OF CANADA</t>
  </si>
  <si>
    <t>NISHI-NIPPON CITY BANK, LTD. (THE)</t>
  </si>
  <si>
    <t>NORINCHUKIN BANK (THE)</t>
  </si>
  <si>
    <t>OITA BANK, LTD. (THE)</t>
    <phoneticPr fontId="7" type="noConversion"/>
  </si>
  <si>
    <t>P.T. BANK CENTRAL ASIA</t>
  </si>
  <si>
    <t>P.T. BANK RAKYAT INDONESIA (PERSERO)</t>
  </si>
  <si>
    <t>PING AN BANK CO., LTD.</t>
    <phoneticPr fontId="7" type="noConversion"/>
  </si>
  <si>
    <t>RESONA BANK, LIMITED</t>
  </si>
  <si>
    <t>ROTHSCHILD BANK AG</t>
  </si>
  <si>
    <t>SCHRODER &amp; CO BANK AG</t>
  </si>
  <si>
    <t xml:space="preserve">    ALSO KNOWN AS: </t>
    <phoneticPr fontId="7" type="noConversion"/>
  </si>
  <si>
    <t xml:space="preserve">   SCHRODER &amp; CO BANQUE SA</t>
    <phoneticPr fontId="7" type="noConversion"/>
  </si>
  <si>
    <t xml:space="preserve">   SCHRODER &amp; CO BANCA SA</t>
    <phoneticPr fontId="7" type="noConversion"/>
  </si>
  <si>
    <t xml:space="preserve">   SCHRODER &amp; CO BANK LTD</t>
    <phoneticPr fontId="7" type="noConversion"/>
  </si>
  <si>
    <t xml:space="preserve">   SCHRODER &amp; CO BANCO SA</t>
    <phoneticPr fontId="7" type="noConversion"/>
  </si>
  <si>
    <t>SHINKIN CENTRAL BANK</t>
  </si>
  <si>
    <t>SHOKO CHUKIN BANK, LTD. (THE)</t>
    <phoneticPr fontId="7" type="noConversion"/>
  </si>
  <si>
    <t>SILICON VALLEY BANK</t>
    <phoneticPr fontId="7" type="noConversion"/>
  </si>
  <si>
    <t>STANDARD BANK OF SOUTH AFRICA LIMITED (THE)</t>
    <phoneticPr fontId="7" type="noConversion"/>
  </si>
  <si>
    <t>SWISSQUOTE BANK SA</t>
    <phoneticPr fontId="7" type="noConversion"/>
  </si>
  <si>
    <t xml:space="preserve">    SWISSQUOTE BANK AG</t>
    <phoneticPr fontId="7" type="noConversion"/>
  </si>
  <si>
    <r>
      <t xml:space="preserve">    </t>
    </r>
    <r>
      <rPr>
        <sz val="8"/>
        <rFont val="Arial"/>
        <family val="2"/>
      </rPr>
      <t>SWISSQUOTE BANK LTD</t>
    </r>
  </si>
  <si>
    <r>
      <t xml:space="preserve">    </t>
    </r>
    <r>
      <rPr>
        <sz val="8"/>
        <rFont val="Arial"/>
        <family val="2"/>
      </rPr>
      <t>SWISSQUOTE BANK INC.</t>
    </r>
  </si>
  <si>
    <t>UNION BANK OF TAIWAN</t>
  </si>
  <si>
    <t>UNIONE DI BANCHE ITALIANE S.P.A.</t>
    <phoneticPr fontId="7" type="noConversion"/>
  </si>
  <si>
    <t>VP BANK LTD</t>
    <phoneticPr fontId="7" type="noConversion"/>
  </si>
  <si>
    <t xml:space="preserve">   ALSO KNOWN AS: </t>
    <phoneticPr fontId="7" type="noConversion"/>
  </si>
  <si>
    <t xml:space="preserve">   VP BANK AG</t>
    <phoneticPr fontId="7" type="noConversion"/>
  </si>
  <si>
    <t xml:space="preserve">   VP BANK SA</t>
    <phoneticPr fontId="7" type="noConversion"/>
  </si>
  <si>
    <t>YAMAGUCHI BANK, LTD. (THE)</t>
  </si>
  <si>
    <t>YAMANASHI CHUO BANK, LTD.</t>
  </si>
  <si>
    <t>Allied Irish Banks</t>
  </si>
  <si>
    <t>Bank of America Merrill Lynch International</t>
  </si>
  <si>
    <t>Bank of Ireland</t>
  </si>
  <si>
    <t>Bank of Montreal Ireland</t>
  </si>
  <si>
    <t>Barclays Bank Ireland</t>
  </si>
  <si>
    <t>Citibank Europe</t>
  </si>
  <si>
    <t>Dell Bank International</t>
  </si>
  <si>
    <t>DePfa Bank</t>
  </si>
  <si>
    <t>EBS</t>
  </si>
  <si>
    <t>Elavon Financial Services</t>
  </si>
  <si>
    <t>Hewlett-Packard International Bank</t>
  </si>
  <si>
    <t>Intesa Sanpaolo Bank Ireland</t>
  </si>
  <si>
    <t>JP Morgan Bank (Ireland)</t>
  </si>
  <si>
    <t>KBC Bank Ireland</t>
  </si>
  <si>
    <t>permanent tsb</t>
  </si>
  <si>
    <t>Scotiabank (Ireland)</t>
  </si>
  <si>
    <t>Ulster Bank Ireland</t>
  </si>
  <si>
    <t>UniCredit Bank Ireland</t>
  </si>
  <si>
    <t>Wells Fargo Bank International</t>
  </si>
  <si>
    <t>Abbey National</t>
  </si>
  <si>
    <t>AIB Bank (CI)</t>
  </si>
  <si>
    <t>Alliance &amp; Leicester</t>
  </si>
  <si>
    <t>Alliance &amp; Leicester International</t>
  </si>
  <si>
    <t>Anglo Irish Bank Corporation (I.O.M.) (Closed)</t>
  </si>
  <si>
    <t>Bank of Bermuda (Isle of Man)</t>
  </si>
  <si>
    <t>Bank of Ireland (I.O.M.)Limited (Closed)[1]</t>
  </si>
  <si>
    <t>Bank of Scotland</t>
  </si>
  <si>
    <t>Barclays Private Bank &amp; Trust (Isle of Man)</t>
  </si>
  <si>
    <t>Barclays Private Clients International</t>
  </si>
  <si>
    <t>BNP Paribas Securities Services Custody Bank</t>
  </si>
  <si>
    <t>BNP Paribas Trust Company (IOM)</t>
  </si>
  <si>
    <t>Bradford &amp; Bingley International (Closed)</t>
  </si>
  <si>
    <t>Britannia International (Closed)</t>
  </si>
  <si>
    <t>Cayman National Bank and Trust Company (Isle of Man)</t>
  </si>
  <si>
    <t>Celtic Bank</t>
  </si>
  <si>
    <t>Close Bank (Isle of Man)</t>
  </si>
  <si>
    <t>Close Trustees (Isle of Man)</t>
  </si>
  <si>
    <t>Conister Trust</t>
  </si>
  <si>
    <t>The Co-operative Bank</t>
  </si>
  <si>
    <t>Duncan Lawrie (IOM)</t>
  </si>
  <si>
    <t>Fairbairn Private Bank (IOM)</t>
  </si>
  <si>
    <t>Habib European Bank</t>
  </si>
  <si>
    <t>HSBC Bank</t>
  </si>
  <si>
    <t>HSBC Bank International (closed Jan 2013[2][3] )</t>
  </si>
  <si>
    <t>HSBC Custody Services (Isle of Man)</t>
  </si>
  <si>
    <t>Irish Nationwide (IOM) (Closed)</t>
  </si>
  <si>
    <t>Irish Permanent (IOM) (Closed)</t>
  </si>
  <si>
    <t>Isle of Man Bank</t>
  </si>
  <si>
    <t>Kaupthing Singer &amp; Friedlander (Isle of Man) (Closed in the 2008 financial crisis)</t>
  </si>
  <si>
    <t>Lloyds Bank</t>
  </si>
  <si>
    <t>Merrill Lynch Bank and Trust Company (Cayman)</t>
  </si>
  <si>
    <t>Nationwide International(Closed June 2017[4])</t>
  </si>
  <si>
    <t>RBS Coutts Bank (Manx)</t>
  </si>
  <si>
    <t>The Royal Bank of Scotland</t>
  </si>
  <si>
    <t>Royal Bank of Scotland International (also trading as NatWest Offshore)</t>
  </si>
  <si>
    <t>Standard Bank Isle of Man</t>
  </si>
  <si>
    <t>The Standard Bank of South Africa</t>
  </si>
  <si>
    <t>Zurich Bank International</t>
  </si>
  <si>
    <t>ABN AMRO Bank N.V., Jersey Branch</t>
  </si>
  <si>
    <t>AIB Bank (C I)</t>
  </si>
  <si>
    <t>Alpha Bank Jersey</t>
  </si>
  <si>
    <t>Anglo Irish Bank Corporation plc, Jersey Branch</t>
  </si>
  <si>
    <t>Ansbacher (Channel Islands)</t>
  </si>
  <si>
    <t>Bank Leumi (Jersey)</t>
  </si>
  <si>
    <t>Bank of India, Jersey Branch</t>
  </si>
  <si>
    <t>Bank of Scotland International</t>
  </si>
  <si>
    <t>Bank of Scotland plc, Jersey Branch</t>
  </si>
  <si>
    <t>Banque Transatlantique (Jersey)</t>
  </si>
  <si>
    <t>Barclays Bank plc, Jersey Branch</t>
  </si>
  <si>
    <t>Barclays Private Bank &amp; Trust</t>
  </si>
  <si>
    <t>Barclays Private Clients International Limited, Jersey Branch</t>
  </si>
  <si>
    <t>BHF-Bank (Jersey)</t>
  </si>
  <si>
    <t>BNP Paribas S.A. Jersey Branch</t>
  </si>
  <si>
    <t>Citibank (Channel Islands)</t>
  </si>
  <si>
    <t>Citibank N.A., Jersey Branch</t>
  </si>
  <si>
    <t>Citicorp Banking Corporation</t>
  </si>
  <si>
    <t>Deutsche Bank International</t>
  </si>
  <si>
    <t>Dexia Private Bank Jersey</t>
  </si>
  <si>
    <t>EFG Private Bank (Channel Islands) Limited, Jersey Branch</t>
  </si>
  <si>
    <t>Fairbairn Private Bank</t>
  </si>
  <si>
    <t>HSBC Bank International</t>
  </si>
  <si>
    <t>HSBC Bank Middle East</t>
  </si>
  <si>
    <t>HSBC Bank Plc, Jersey Branch</t>
  </si>
  <si>
    <t>HSBC Private Bank (Jersey)</t>
  </si>
  <si>
    <t>ING Bank (Jersey)</t>
  </si>
  <si>
    <t>Investec Bank (Channel Islands) Limited, Jersey Branch</t>
  </si>
  <si>
    <t>JPMorgan Chase Bank N.A., Jersey Branch</t>
  </si>
  <si>
    <t>Kleinwort Benson (Channel Islands)</t>
  </si>
  <si>
    <t>Lloyds TSB Bank Plc, Jersey Branch</t>
  </si>
  <si>
    <t>Lloyds TSB Offshore</t>
  </si>
  <si>
    <t>National Bank of Dubai P.J.S.C., Jersey Branch</t>
  </si>
  <si>
    <t>National Westminster Bank Plc, Jersey Branch</t>
  </si>
  <si>
    <t>Royal Bank of Canada (Channel Islands) Limited, Jersey Branch</t>
  </si>
  <si>
    <t>The Royal Bank of Scotland Plc, Jersey Branch</t>
  </si>
  <si>
    <t>Royal Bank of Scotland International Limited (also trading as NatWest Offshore)</t>
  </si>
  <si>
    <t>SG Hambros Bank (Channel Islands)</t>
  </si>
  <si>
    <t>Standard Bank Jersey</t>
  </si>
  <si>
    <t>Standard Chartered (Jersey)</t>
  </si>
  <si>
    <t>Standard Chartered Bank, Jersey Branch</t>
  </si>
  <si>
    <t>UBS AG, Jersey Branch</t>
  </si>
  <si>
    <t>UniCredit Bank Cayman Islands</t>
  </si>
  <si>
    <t>Union Bancaire Privée, Jersey Branch</t>
  </si>
  <si>
    <t>Abbey National International</t>
  </si>
  <si>
    <t>Bank Alpinum [1] SWIFT: N/A</t>
  </si>
  <si>
    <t>Bank Frick [2] BFRILI22</t>
  </si>
  <si>
    <t>Bank von Ernst [3] EFGBLI22</t>
  </si>
  <si>
    <t>Bank Vontobel [4] SWIFT: N/A</t>
  </si>
  <si>
    <t>Banque Havilland [5] SFBALI22</t>
  </si>
  <si>
    <t>Centrum Bank [6] CBKVLI2</t>
  </si>
  <si>
    <t>Kaiser Ritter Partner Privatbank [7] SERBLI22</t>
  </si>
  <si>
    <t>Lamda Privatbank [8]</t>
  </si>
  <si>
    <t>LGT Bank [9] BLFLLI2</t>
  </si>
  <si>
    <t>Liechtensteinische Landesbank [10] LILALI2</t>
  </si>
  <si>
    <t>Neue Bank [11] NBANLI22</t>
  </si>
  <si>
    <t>Raiffeisen Bank [12] RAIBLI22</t>
  </si>
  <si>
    <t>BENDURA BANK AG [13] HYIBLI22</t>
  </si>
  <si>
    <t>VP Bank AG [14] VPBVLI2</t>
  </si>
  <si>
    <t>Volksbank [15] VOAGLI22</t>
  </si>
  <si>
    <t>Luminor AB DNB bankas and Nordea (part of DNB ASA, Norway)</t>
  </si>
  <si>
    <t>AB SEB bankas (subsidiary of SEB, Sweden)</t>
  </si>
  <si>
    <t>AB Šiaulių bankas (Lithuania)</t>
  </si>
  <si>
    <t>AB Swedbank (part of Swedbank, Sweden)</t>
  </si>
  <si>
    <t>Citadele Bank (part of Citadele banka, Latvia)</t>
  </si>
  <si>
    <t>UAB Medicinos bankas (Lithuania)</t>
  </si>
  <si>
    <t>Advanzia Bank</t>
  </si>
  <si>
    <t>Banque de Luxembourg</t>
  </si>
  <si>
    <t>Banque et Caisse d'Épargne de l'État</t>
  </si>
  <si>
    <t>Banque Internationale à Luxembourg</t>
  </si>
  <si>
    <t>Banque Fortuna</t>
  </si>
  <si>
    <t>Banque Raiffeisen</t>
  </si>
  <si>
    <t>BGL BNP Paribas</t>
  </si>
  <si>
    <t>Central Bank of Luxembourg</t>
  </si>
  <si>
    <t>Internal Audit Department, Luxembourg</t>
  </si>
  <si>
    <t>KBL European Private Bankers</t>
  </si>
  <si>
    <t>Portuguese Commercial Bank</t>
  </si>
  <si>
    <t>Precision Capital</t>
  </si>
  <si>
    <t>Société Nationale de Crédit et d'Investissement</t>
  </si>
  <si>
    <t>Société Générale</t>
  </si>
  <si>
    <t>Ing</t>
  </si>
  <si>
    <t>Intesa Sanpaolo</t>
  </si>
  <si>
    <t>Akbank T.A.S. [2]</t>
  </si>
  <si>
    <t>APS Bank Limited [3]</t>
  </si>
  <si>
    <t>Banif Bank (Malta) plc [4]</t>
  </si>
  <si>
    <t>Bank of Valletta plc [5]</t>
  </si>
  <si>
    <t>BAWAG Malta Bank Limited [6]</t>
  </si>
  <si>
    <t>CommBank Europe Limited [7]</t>
  </si>
  <si>
    <t>Credorax Bank (Malta) Limited [8]</t>
  </si>
  <si>
    <t>Deutsche Bank (Malta) Limited [9]</t>
  </si>
  <si>
    <t>Erste Bank (Malta) Limited [10]</t>
  </si>
  <si>
    <t>FCM Bank Limited [11]</t>
  </si>
  <si>
    <t>FIMBank plc [12]</t>
  </si>
  <si>
    <t>Fortis Bank Malta Limited [13]</t>
  </si>
  <si>
    <t>HSBC Bank Malta plc [14]</t>
  </si>
  <si>
    <t>IIG Bank (Malta) Limited [15]</t>
  </si>
  <si>
    <t>Investkredit International Bank plc [16]</t>
  </si>
  <si>
    <t>Izola Bank plc [17]</t>
  </si>
  <si>
    <t>Lombard Bank Malta plc [18]</t>
  </si>
  <si>
    <t>MeDirect Bank Malta [19] (formerly Mediterranean Bank)</t>
  </si>
  <si>
    <t>NBG Bank Malta Limited [20]</t>
  </si>
  <si>
    <t>Novum Bank Limited [21]</t>
  </si>
  <si>
    <t>Pilatus Bank Ltd. [22]</t>
  </si>
  <si>
    <t>Raiffeisen Malta plc [23]</t>
  </si>
  <si>
    <t>Satabank [24]</t>
  </si>
  <si>
    <t>Sparkasse Bank Malta plc [25]</t>
  </si>
  <si>
    <t>Turkiye Garanti Bankasi A S [26]</t>
  </si>
  <si>
    <t>Nordea Bank AB Malta [24]</t>
  </si>
  <si>
    <t>Go Bank Malta Limited [27]</t>
  </si>
  <si>
    <t>ABC Banking Corporation</t>
  </si>
  <si>
    <t>AfrAsia Bank Limited</t>
  </si>
  <si>
    <t>Bank One</t>
  </si>
  <si>
    <t>Banque des Mascareignes</t>
  </si>
  <si>
    <t>BanyanTree Bank Limited</t>
  </si>
  <si>
    <t>Century Banking Corporation</t>
  </si>
  <si>
    <t>Deutsche Bank</t>
  </si>
  <si>
    <t>Development Bank of Mauritius</t>
  </si>
  <si>
    <t>The Hongkong and Shanghai Banking Corporation</t>
  </si>
  <si>
    <t>Habib Bank Limited</t>
  </si>
  <si>
    <t>Investec Bank</t>
  </si>
  <si>
    <t>MauBank</t>
  </si>
  <si>
    <t>Bank Internasional Indonesia</t>
  </si>
  <si>
    <t>SBI Mauritius</t>
  </si>
  <si>
    <t>Standard Bank</t>
  </si>
  <si>
    <t>Standard Chartered Bank</t>
  </si>
  <si>
    <t>State Bank of Mauritius</t>
  </si>
  <si>
    <t>Amsterdam Trade Bank</t>
  </si>
  <si>
    <t>Anadolubank Nederland N.V.</t>
  </si>
  <si>
    <t>ASN Bank</t>
  </si>
  <si>
    <t>Bank Mendes Gans</t>
  </si>
  <si>
    <t>Bank Nederlandse Gemeenten</t>
  </si>
  <si>
    <t>BinckBank</t>
  </si>
  <si>
    <t>bunq</t>
  </si>
  <si>
    <t>Credit Europe Bank</t>
  </si>
  <si>
    <t>Demir Halk Bank</t>
  </si>
  <si>
    <t>Friesland Bank</t>
  </si>
  <si>
    <t>GarantiBank International NV</t>
  </si>
  <si>
    <t>GE Artesia Bank</t>
  </si>
  <si>
    <t>Kempen &amp; Co</t>
  </si>
  <si>
    <t>Knab</t>
  </si>
  <si>
    <t>Nederlandse Waterschapsbank</t>
  </si>
  <si>
    <t>Netherlands Development Finance Company</t>
  </si>
  <si>
    <t>NIBC Bank</t>
  </si>
  <si>
    <t>SNS Bank</t>
  </si>
  <si>
    <t>Triodos Bank</t>
  </si>
  <si>
    <t>Van Lanschot</t>
  </si>
  <si>
    <t>Yapi Kredi Bank Nederland N.V.</t>
  </si>
  <si>
    <t>Balboa Bank and Trust</t>
  </si>
  <si>
    <t>Banco Latinoamericano de Comercio Exterior</t>
  </si>
  <si>
    <t>Banistmo</t>
  </si>
  <si>
    <t>Grupo Banistmo</t>
  </si>
  <si>
    <t>HSBC Bank Panama</t>
  </si>
  <si>
    <t>National Bank of Panama</t>
  </si>
  <si>
    <t>Bank of Singapore (part of OCBC)</t>
  </si>
  <si>
    <t>DBS Bank Limited</t>
  </si>
  <si>
    <t>Oversea-Chinese Banking Corporation Limited (OCBC)</t>
  </si>
  <si>
    <t>United Overseas Bank Limited (UOB)</t>
  </si>
  <si>
    <t>Chung Khiaw Bank Limited</t>
  </si>
  <si>
    <t>Overseas Union Bank Limited</t>
  </si>
  <si>
    <t>Keppel Bank Limited</t>
  </si>
  <si>
    <t>Tat Lee Bank Limited</t>
  </si>
  <si>
    <t>POSB</t>
  </si>
  <si>
    <t>Keppel TatLee Bank Limited</t>
  </si>
  <si>
    <t>Industrial and Commercial Bank Singapore Limited</t>
  </si>
  <si>
    <t>International Bank of Singapore</t>
  </si>
  <si>
    <t>Bank of Singapore</t>
  </si>
  <si>
    <t>The Islamic Bank of Asia</t>
  </si>
  <si>
    <t>Far Eastern Bank Limited</t>
  </si>
  <si>
    <t>Standard Chartered Bank (formally American Express Bank Limited)</t>
  </si>
  <si>
    <t>Bangkok Bank Public Company Limited</t>
  </si>
  <si>
    <t>Bank of America, National Association</t>
  </si>
  <si>
    <t>Bank of China Limited</t>
  </si>
  <si>
    <t>Bank of East Asia Limited, The</t>
  </si>
  <si>
    <t>Bank of India</t>
  </si>
  <si>
    <t>Bank of Tokyo-Mitsubishi UFJ Limited, The</t>
  </si>
  <si>
    <t>Calyon</t>
  </si>
  <si>
    <t>Citibank</t>
  </si>
  <si>
    <t>Hongkong and Shanghai Banking Corporation Limited</t>
  </si>
  <si>
    <t>Maybank Singapore Limited</t>
  </si>
  <si>
    <t>Hong Leong Bank Berhad</t>
  </si>
  <si>
    <t>Indian Bank</t>
  </si>
  <si>
    <t>Indian Overseas Bank</t>
  </si>
  <si>
    <t>JPMorgan Chase Bank, National Association</t>
  </si>
  <si>
    <t>PT Bank Mandiri (Persero) Tbk.</t>
  </si>
  <si>
    <t>PT Bank Negara Indonesia (Persero) Tbk.</t>
  </si>
  <si>
    <t>RHB Bank Berhad</t>
  </si>
  <si>
    <t>Southern Bank Berhad **Now CIMB Bank</t>
  </si>
  <si>
    <t>Sumitomo Mitsui Banking Corporation</t>
  </si>
  <si>
    <t>UCO Bank</t>
  </si>
  <si>
    <t>Alternative Bank Schweiz ABS</t>
  </si>
  <si>
    <t>Banque Bonhôte &amp; Cie SA</t>
  </si>
  <si>
    <t>Cantonal banks</t>
  </si>
  <si>
    <t>CIM Bank</t>
  </si>
  <si>
    <t>Bank Cler (former Bank Coop)</t>
  </si>
  <si>
    <t>Hinduja Bank (Switzerland) Ltd</t>
  </si>
  <si>
    <t>J. Safra Sarasin</t>
  </si>
  <si>
    <t>Migros Bank</t>
  </si>
  <si>
    <t>Mirabaud Group</t>
  </si>
  <si>
    <t>Morval</t>
  </si>
  <si>
    <t>SIX SIS AG</t>
  </si>
  <si>
    <t>Swissquote</t>
  </si>
  <si>
    <t>Vontobel</t>
  </si>
  <si>
    <t>WIR Bank</t>
  </si>
  <si>
    <t>Zurich Cantonal Bank</t>
  </si>
  <si>
    <t>United Emirates Bank</t>
  </si>
  <si>
    <t>Abu Dhabi Commercial Bank</t>
  </si>
  <si>
    <t>Abu Dhabi Islamic Bank</t>
  </si>
  <si>
    <t>Arab Bank plc</t>
  </si>
  <si>
    <t>Bank Melli Iran</t>
  </si>
  <si>
    <t>Bank Saderat Iran</t>
  </si>
  <si>
    <t>Arab Emirates Investment Bank</t>
  </si>
  <si>
    <t>Zbavit Bank (ZB BANK)</t>
  </si>
  <si>
    <t>Bank of Sharjah</t>
  </si>
  <si>
    <t>Citibank N.A., United Arab Emirates</t>
  </si>
  <si>
    <t>Commercial Bank International</t>
  </si>
  <si>
    <t>Commercial Bank of Dubai</t>
  </si>
  <si>
    <t>Dubai Islamic Bank</t>
  </si>
  <si>
    <t>Emirates Islamic Bank</t>
  </si>
  <si>
    <t>First Gulf Bank</t>
  </si>
  <si>
    <t>Habib Bank AG Zurich</t>
  </si>
  <si>
    <t>Habib Bank Limited (HBL)</t>
  </si>
  <si>
    <t>HSBC Bank Middle East Limited</t>
  </si>
  <si>
    <t>Invest Bank</t>
  </si>
  <si>
    <t>Mashreqbank</t>
  </si>
  <si>
    <t>National Bank of Abu Dhabi</t>
  </si>
  <si>
    <t>Emirates NBD</t>
  </si>
  <si>
    <t>National Bank of Fujairah</t>
  </si>
  <si>
    <t>National Bank of Umm Al-Qaiwain</t>
  </si>
  <si>
    <t>Noor Bank</t>
  </si>
  <si>
    <t>RAKBANK</t>
  </si>
  <si>
    <t>Sharjah Islamic Bank</t>
  </si>
  <si>
    <t>Standard Chartered Bank (United Arab Emirates) Limited</t>
  </si>
  <si>
    <t>United Bank Limited (UBL)</t>
  </si>
  <si>
    <t>Union National Bank</t>
  </si>
  <si>
    <t>United Arab Bank</t>
  </si>
  <si>
    <t>Swissquote MEA Ltd.</t>
  </si>
  <si>
    <t>Ajman Bank</t>
  </si>
  <si>
    <t>Jalal Bank</t>
  </si>
  <si>
    <t>National Bank of Oman</t>
  </si>
  <si>
    <t>Outlook Emirate Bank</t>
  </si>
  <si>
    <t>Gun_Permit_?</t>
  </si>
  <si>
    <t>15% / 5%</t>
  </si>
  <si>
    <t>More than $26 000, it's 25% and less than $26 000, it's 0%</t>
  </si>
  <si>
    <t>First £25,001: 20% / £25,001 - £353,000: 29% / £353,001 - £704,800: 20% / £704,801 - £1,000,000: 10%</t>
  </si>
  <si>
    <t>Average_Lowest_Temperature_[ºC]</t>
  </si>
  <si>
    <t>English (official) and Portuguese (non-official)</t>
  </si>
  <si>
    <t>English, Guernsey dialect, Sercquiais, Auregnais dialect</t>
  </si>
  <si>
    <t>English, Chinese (only Cantonese)</t>
  </si>
  <si>
    <t>English, Manx</t>
  </si>
  <si>
    <t>English, French and Jersey dialect</t>
  </si>
  <si>
    <t>German</t>
  </si>
  <si>
    <t xml:space="preserve"> Luxembourgish, French, German</t>
  </si>
  <si>
    <t>Spanish</t>
  </si>
  <si>
    <t>Seychellois Creole, English and French</t>
  </si>
  <si>
    <t>English (official), Spanish, Llanito</t>
  </si>
  <si>
    <t>How_Many_Years_To_Spend_?</t>
  </si>
  <si>
    <t>Difficult</t>
  </si>
  <si>
    <t>Investors</t>
  </si>
  <si>
    <t>e</t>
  </si>
  <si>
    <t>Lithuania - Kuwait: treaty signed on 18.04.2013</t>
  </si>
  <si>
    <t>Lithuania - Morocco: treaty signed on 19.042013</t>
  </si>
  <si>
    <t>Lithuania Double Tax Treaties</t>
  </si>
  <si>
    <t>Hong Kong - Italy: tax treaty effective from 01.01.2016</t>
  </si>
  <si>
    <t>Hong Kong - Romania: DTA signed on 18.11.2015</t>
  </si>
  <si>
    <t>Hong Kong - Russia: treaty effective from 01.01.2017</t>
  </si>
  <si>
    <t>Hong Kong - South Africa: tax treaty effective from 01.04.2016</t>
  </si>
  <si>
    <t>Hong Kong - South Korea: tax treaty signed on 08.07.2014</t>
  </si>
  <si>
    <t>Hong Kong Double Tax Treaties</t>
  </si>
  <si>
    <t>Countries / Criteria</t>
  </si>
  <si>
    <t>Population_&gt;_1M_Of_People</t>
  </si>
  <si>
    <t>EU_Members</t>
  </si>
  <si>
    <t>Offshore_Tax_=_0%</t>
  </si>
  <si>
    <t>Corporation_Tax_=_0%</t>
  </si>
  <si>
    <t>Social_Security_Rate_For_Bosses_=_0%</t>
  </si>
  <si>
    <t>Social_Security_Rate_For_Employees_=_0%</t>
  </si>
  <si>
    <t>Personal_Income_Tax_=_0%</t>
  </si>
  <si>
    <t>VAT_Tax_=_0%</t>
  </si>
  <si>
    <t>OECD_Members</t>
  </si>
  <si>
    <t>Native_English_Spoken</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</si>
</sst>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 #,##0.00\ &quot;€&quot;_-;\-* #,##0.00\ &quot;€&quot;_-;_-* &quot;-&quot;??\ &quot;€&quot;_-;_-@_-"/>
    <numFmt numFmtId="164" formatCode="[$€-2]\ #,##0.00;[Red]\-[$€-2]\ #,##0.00"/>
    <numFmt numFmtId="165" formatCode="[$€-2]\ #,##0;[Red]\-[$€-2]\ #,##0"/>
    <numFmt numFmtId="166" formatCode="_-* #,##0.00\ [$MUR]_-;\-* #,##0.00\ [$MUR]_-;_-* &quot;-&quot;??\ [$MUR]_-;_-@_-"/>
    <numFmt numFmtId="167" formatCode="_-[$$-409]* #,##0.00_ ;_-[$$-409]* \-#,##0.00\ ;_-[$$-409]* &quot;-&quot;??_ ;_-@_ "/>
    <numFmt numFmtId="168" formatCode="_-* #,##0.00\ [$HKD]_-;\-* #,##0.00\ [$HKD]_-;_-* &quot;-&quot;??\ [$HKD]_-;_-@_-"/>
    <numFmt numFmtId="169" formatCode="_-* #,##0.00\ [$SCR]_-;\-* #,##0.00\ [$SCR]_-;_-* &quot;-&quot;??\ [$SCR]_-;_-@_-"/>
    <numFmt numFmtId="170" formatCode="_-* #,##0.00\ [$BSD]_-;\-* #,##0.00\ [$BSD]_-;_-* &quot;-&quot;??\ [$BSD]_-;_-@_-"/>
    <numFmt numFmtId="171" formatCode="_-* #,##0.00\ [$BBD]_-;\-* #,##0.00\ [$BBD]_-;_-* &quot;-&quot;??\ [$BBD]_-;_-@_-"/>
    <numFmt numFmtId="172" formatCode="_-* #,##0.00\ [$BZD]_-;\-* #,##0.00\ [$BZD]_-;_-* &quot;-&quot;??\ [$BZD]_-;_-@_-"/>
    <numFmt numFmtId="173" formatCode="_-* #,##0.00\ [$BMD]_-;\-* #,##0.00\ [$BMD]_-;_-* &quot;-&quot;??\ [$BMD]_-;_-@_-"/>
    <numFmt numFmtId="174" formatCode="_-* #,##0.00\ [$KYD]_-;\-* #,##0.00\ [$KYD]_-;_-* &quot;-&quot;??\ [$KYD]_-;_-@_-"/>
    <numFmt numFmtId="175" formatCode="_-* #,##0.00\ [$€-40C]_-;\-* #,##0.00\ [$€-40C]_-;_-* &quot;-&quot;??\ [$€-40C]_-;_-@_-"/>
    <numFmt numFmtId="176" formatCode="_-* #,##0.00\ [$CHF]_-;\-* #,##0.00\ [$CHF]_-;_-* &quot;-&quot;??\ [$CHF]_-;_-@_-"/>
    <numFmt numFmtId="177" formatCode="_-* #,##0.00\ [$SGD]_-;\-* #,##0.00\ [$SGD]_-;_-* &quot;-&quot;??\ [$SGD]_-;_-@_-"/>
    <numFmt numFmtId="178" formatCode="_-* #,##0.00\ [$PAB]_-;\-* #,##0.00\ [$PAB]_-;_-* &quot;-&quot;??\ [$PAB]_-;_-@_-"/>
    <numFmt numFmtId="179" formatCode="_-* #,##0.00\ [$AED]_-;\-* #,##0.00\ [$AED]_-;_-* &quot;-&quot;??\ [$AED]_-;_-@_-"/>
    <numFmt numFmtId="180" formatCode="_-* #,##0.00\ [$GBP]_-;\-* #,##0.00\ [$GBP]_-;_-* &quot;-&quot;??\ [$GBP]_-;_-@_-"/>
  </numFmts>
  <fonts count="31">
    <font>
      <sz val="11"/>
      <color theme="1"/>
      <name val="Calibri"/>
      <family val="2"/>
      <scheme val="minor"/>
    </font>
    <font>
      <b/>
      <sz val="11"/>
      <color theme="1"/>
      <name val="Calibri"/>
      <family val="2"/>
      <scheme val="minor"/>
    </font>
    <font>
      <b/>
      <sz val="11"/>
      <name val="Helvetica"/>
      <family val="2"/>
    </font>
    <font>
      <sz val="11"/>
      <name val="Calibri"/>
      <family val="2"/>
      <scheme val="minor"/>
    </font>
    <font>
      <sz val="11"/>
      <name val="Helvetica"/>
      <family val="2"/>
    </font>
    <font>
      <b/>
      <sz val="11"/>
      <name val="Calibri"/>
      <family val="2"/>
      <scheme val="minor"/>
    </font>
    <font>
      <u/>
      <sz val="11"/>
      <color theme="10"/>
      <name val="Calibri"/>
      <family val="2"/>
      <scheme val="minor"/>
    </font>
    <font>
      <sz val="10"/>
      <color rgb="FF1E3948"/>
      <name val="Calibri"/>
      <family val="2"/>
      <scheme val="minor"/>
    </font>
    <font>
      <sz val="10"/>
      <color theme="1"/>
      <name val="Calibri"/>
      <family val="2"/>
      <scheme val="minor"/>
    </font>
    <font>
      <b/>
      <sz val="10"/>
      <color theme="1"/>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Calibri"/>
      <family val="2"/>
      <scheme val="minor"/>
    </font>
    <font>
      <sz val="10"/>
      <color rgb="FF1E3948"/>
      <name val="Inherit"/>
    </font>
    <font>
      <b/>
      <sz val="10"/>
      <color theme="1"/>
      <name val="Helvetica"/>
      <family val="2"/>
    </font>
    <font>
      <sz val="10"/>
      <color theme="1"/>
      <name val="Helvetica"/>
      <family val="2"/>
    </font>
    <font>
      <sz val="11"/>
      <color theme="1"/>
      <name val="Calibri"/>
      <family val="2"/>
      <scheme val="minor"/>
    </font>
    <font>
      <sz val="23"/>
      <color rgb="FF222222"/>
      <name val="Arial"/>
      <family val="2"/>
    </font>
    <font>
      <sz val="9"/>
      <color indexed="81"/>
      <name val="Tahoma"/>
      <family val="2"/>
    </font>
    <font>
      <b/>
      <sz val="9"/>
      <color indexed="81"/>
      <name val="Tahoma"/>
      <family val="2"/>
    </font>
    <font>
      <sz val="11"/>
      <color rgb="FF222222"/>
      <name val="Calibri"/>
      <family val="2"/>
      <scheme val="minor"/>
    </font>
    <font>
      <sz val="9"/>
      <color indexed="81"/>
      <name val="Tahoma"/>
      <charset val="1"/>
    </font>
    <font>
      <b/>
      <sz val="9"/>
      <color indexed="81"/>
      <name val="Tahoma"/>
      <charset val="1"/>
    </font>
    <font>
      <sz val="11"/>
      <color rgb="FFFF0000"/>
      <name val="Calibri"/>
      <family val="2"/>
      <scheme val="minor"/>
    </font>
    <font>
      <sz val="8"/>
      <color theme="1"/>
      <name val="Arial"/>
      <family val="2"/>
    </font>
    <font>
      <sz val="8"/>
      <name val="Arial"/>
      <family val="2"/>
    </font>
    <font>
      <sz val="8"/>
      <name val="文鼎新細明"/>
      <family val="1"/>
      <charset val="136"/>
    </font>
    <font>
      <sz val="11"/>
      <color rgb="FF1E3948"/>
      <name val="Helvetica"/>
      <family val="2"/>
    </font>
    <font>
      <sz val="9"/>
      <color rgb="FF1E3948"/>
      <name val="Helvetica"/>
      <family val="2"/>
    </font>
    <font>
      <sz val="9"/>
      <name val="Helvetica"/>
      <family val="2"/>
    </font>
  </fonts>
  <fills count="1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7" tint="0.39997558519241921"/>
        <bgColor indexed="64"/>
      </patternFill>
    </fill>
    <fill>
      <patternFill patternType="solid">
        <fgColor rgb="FFF9F9F9"/>
        <bgColor indexed="64"/>
      </patternFill>
    </fill>
    <fill>
      <patternFill patternType="solid">
        <fgColor rgb="FFF5F5F5"/>
        <bgColor indexed="64"/>
      </patternFill>
    </fill>
    <fill>
      <patternFill patternType="solid">
        <fgColor rgb="FFFFC000"/>
        <bgColor indexed="64"/>
      </patternFill>
    </fill>
    <fill>
      <patternFill patternType="solid">
        <fgColor rgb="FF00B05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6" fillId="0" borderId="0" applyNumberFormat="0" applyFill="0" applyBorder="0" applyAlignment="0" applyProtection="0"/>
    <xf numFmtId="44" fontId="17" fillId="0" borderId="0" applyFont="0" applyFill="0" applyBorder="0" applyAlignment="0" applyProtection="0"/>
    <xf numFmtId="9" fontId="17" fillId="0" borderId="0" applyFont="0" applyFill="0" applyBorder="0" applyAlignment="0" applyProtection="0"/>
  </cellStyleXfs>
  <cellXfs count="196">
    <xf numFmtId="0" fontId="0" fillId="0" borderId="0" xfId="0"/>
    <xf numFmtId="0" fontId="0" fillId="2" borderId="1" xfId="0" applyFill="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1"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3" borderId="1" xfId="0" applyFont="1" applyFill="1" applyBorder="1" applyAlignment="1">
      <alignment horizontal="center" vertical="center"/>
    </xf>
    <xf numFmtId="0" fontId="0" fillId="2" borderId="1" xfId="0" applyFont="1" applyFill="1" applyBorder="1" applyAlignment="1">
      <alignment horizontal="center" vertical="center"/>
    </xf>
    <xf numFmtId="0" fontId="0" fillId="4" borderId="1" xfId="0" applyFont="1" applyFill="1" applyBorder="1" applyAlignment="1">
      <alignment horizontal="center" vertical="center"/>
    </xf>
    <xf numFmtId="9" fontId="0" fillId="3" borderId="1" xfId="0" applyNumberFormat="1" applyFont="1" applyFill="1" applyBorder="1" applyAlignment="1">
      <alignment horizontal="center" vertical="center"/>
    </xf>
    <xf numFmtId="0" fontId="0" fillId="2" borderId="0" xfId="0" applyFont="1" applyFill="1" applyAlignment="1">
      <alignment horizontal="center" vertical="center"/>
    </xf>
    <xf numFmtId="0" fontId="3"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4" fillId="2" borderId="1" xfId="0" applyFont="1" applyFill="1" applyBorder="1" applyAlignment="1">
      <alignment horizontal="center" vertical="center"/>
    </xf>
    <xf numFmtId="0" fontId="0" fillId="2" borderId="0" xfId="0" applyFill="1" applyAlignment="1">
      <alignment horizontal="center" vertical="center"/>
    </xf>
    <xf numFmtId="0" fontId="3" fillId="4" borderId="1" xfId="0" applyFont="1" applyFill="1" applyBorder="1" applyAlignment="1">
      <alignment horizontal="center" vertical="center"/>
    </xf>
    <xf numFmtId="0" fontId="4" fillId="5"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0" borderId="3" xfId="0" applyFont="1" applyFill="1" applyBorder="1" applyAlignment="1">
      <alignment horizontal="center" vertical="center"/>
    </xf>
    <xf numFmtId="0" fontId="4" fillId="3" borderId="1" xfId="0" applyFont="1" applyFill="1" applyBorder="1" applyAlignment="1">
      <alignment horizontal="center" vertical="center"/>
    </xf>
    <xf numFmtId="0" fontId="0" fillId="5" borderId="1" xfId="0" applyFont="1" applyFill="1" applyBorder="1" applyAlignment="1">
      <alignment horizontal="center" vertical="center"/>
    </xf>
    <xf numFmtId="9" fontId="0" fillId="5" borderId="1" xfId="0" applyNumberFormat="1" applyFont="1" applyFill="1" applyBorder="1" applyAlignment="1">
      <alignment horizontal="center" vertical="center"/>
    </xf>
    <xf numFmtId="164" fontId="0" fillId="5" borderId="1" xfId="0" applyNumberFormat="1" applyFont="1" applyFill="1" applyBorder="1" applyAlignment="1">
      <alignment horizontal="center" vertical="center"/>
    </xf>
    <xf numFmtId="9" fontId="4" fillId="3" borderId="1" xfId="0" applyNumberFormat="1" applyFont="1" applyFill="1" applyBorder="1" applyAlignment="1">
      <alignment horizontal="center" vertical="center"/>
    </xf>
    <xf numFmtId="9" fontId="4" fillId="5" borderId="1" xfId="0" applyNumberFormat="1" applyFont="1" applyFill="1" applyBorder="1" applyAlignment="1">
      <alignment horizontal="center" vertical="center"/>
    </xf>
    <xf numFmtId="164" fontId="4" fillId="5" borderId="1" xfId="0" applyNumberFormat="1" applyFont="1" applyFill="1" applyBorder="1" applyAlignment="1">
      <alignment horizontal="center" vertical="center"/>
    </xf>
    <xf numFmtId="9" fontId="3" fillId="5" borderId="1" xfId="0" applyNumberFormat="1" applyFont="1" applyFill="1" applyBorder="1" applyAlignment="1">
      <alignment horizontal="center" vertical="center"/>
    </xf>
    <xf numFmtId="9" fontId="3" fillId="3" borderId="1" xfId="0" applyNumberFormat="1"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0" fillId="3" borderId="1" xfId="0" applyNumberFormat="1" applyFont="1" applyFill="1" applyBorder="1" applyAlignment="1">
      <alignment horizontal="center" vertical="center"/>
    </xf>
    <xf numFmtId="0" fontId="0" fillId="6" borderId="1" xfId="0" applyFont="1" applyFill="1" applyBorder="1" applyAlignment="1">
      <alignment horizontal="center" vertical="center"/>
    </xf>
    <xf numFmtId="165" fontId="0" fillId="3" borderId="1" xfId="0" applyNumberFormat="1" applyFont="1" applyFill="1" applyBorder="1" applyAlignment="1">
      <alignment horizontal="center" vertical="center"/>
    </xf>
    <xf numFmtId="164" fontId="3" fillId="3" borderId="1" xfId="0" applyNumberFormat="1" applyFont="1" applyFill="1" applyBorder="1" applyAlignment="1">
      <alignment horizontal="center" vertical="center"/>
    </xf>
    <xf numFmtId="165" fontId="3" fillId="3" borderId="1" xfId="0" applyNumberFormat="1" applyFont="1" applyFill="1" applyBorder="1" applyAlignment="1">
      <alignment horizontal="center" vertical="center"/>
    </xf>
    <xf numFmtId="0" fontId="3" fillId="6" borderId="1" xfId="0" applyFont="1" applyFill="1" applyBorder="1" applyAlignment="1">
      <alignment horizontal="center" vertical="center"/>
    </xf>
    <xf numFmtId="0" fontId="4" fillId="6" borderId="1" xfId="0" applyFont="1" applyFill="1" applyBorder="1" applyAlignment="1">
      <alignment horizontal="center" vertical="center"/>
    </xf>
    <xf numFmtId="0" fontId="0" fillId="0" borderId="1" xfId="0" applyBorder="1" applyAlignment="1">
      <alignment horizontal="center" vertical="center"/>
    </xf>
    <xf numFmtId="0" fontId="8" fillId="0" borderId="0" xfId="0" applyFont="1" applyAlignment="1">
      <alignment horizontal="center" vertical="center"/>
    </xf>
    <xf numFmtId="0" fontId="8" fillId="0" borderId="1" xfId="0" applyFont="1" applyBorder="1" applyAlignment="1">
      <alignment horizontal="center" vertical="center"/>
    </xf>
    <xf numFmtId="0" fontId="8" fillId="7" borderId="1" xfId="0" applyFont="1" applyFill="1" applyBorder="1" applyAlignment="1">
      <alignment horizontal="center" vertical="center"/>
    </xf>
    <xf numFmtId="0" fontId="10" fillId="7" borderId="1" xfId="1" applyFont="1" applyFill="1" applyBorder="1" applyAlignment="1">
      <alignment horizontal="center" vertical="center"/>
    </xf>
    <xf numFmtId="0" fontId="8" fillId="8" borderId="1" xfId="0" applyFont="1" applyFill="1" applyBorder="1" applyAlignment="1">
      <alignment horizontal="center" vertical="center"/>
    </xf>
    <xf numFmtId="0" fontId="10" fillId="8" borderId="1" xfId="1" applyFont="1" applyFill="1" applyBorder="1" applyAlignment="1">
      <alignment horizontal="center" vertical="center"/>
    </xf>
    <xf numFmtId="0" fontId="7" fillId="2" borderId="1" xfId="0" applyFont="1" applyFill="1" applyBorder="1" applyAlignment="1">
      <alignment horizontal="center" vertical="center"/>
    </xf>
    <xf numFmtId="0" fontId="8"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8" fillId="4" borderId="1" xfId="0" applyFont="1" applyFill="1" applyBorder="1" applyAlignment="1">
      <alignment horizontal="center" vertical="center"/>
    </xf>
    <xf numFmtId="0" fontId="8" fillId="5" borderId="1" xfId="0" applyFont="1" applyFill="1" applyBorder="1" applyAlignment="1">
      <alignment horizontal="center" vertical="center"/>
    </xf>
    <xf numFmtId="0" fontId="10" fillId="0" borderId="1" xfId="1" applyFont="1" applyBorder="1" applyAlignment="1">
      <alignment horizontal="center" vertical="center"/>
    </xf>
    <xf numFmtId="0" fontId="7" fillId="2" borderId="1" xfId="0" applyFont="1" applyFill="1" applyBorder="1" applyAlignment="1">
      <alignment horizontal="center"/>
    </xf>
    <xf numFmtId="0" fontId="8" fillId="7"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10" fillId="7" borderId="1" xfId="1" applyFont="1" applyFill="1" applyBorder="1" applyAlignment="1">
      <alignment horizontal="center" vertical="center" wrapText="1"/>
    </xf>
    <xf numFmtId="0" fontId="10" fillId="0" borderId="1" xfId="1" applyFont="1" applyBorder="1" applyAlignment="1">
      <alignment horizontal="center" vertical="center" wrapText="1"/>
    </xf>
    <xf numFmtId="0" fontId="9" fillId="2"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0" borderId="1" xfId="0" applyFont="1" applyBorder="1" applyAlignment="1">
      <alignment horizontal="center"/>
    </xf>
    <xf numFmtId="0" fontId="8" fillId="7" borderId="1" xfId="0" applyFont="1" applyFill="1" applyBorder="1" applyAlignment="1">
      <alignment horizontal="center" vertical="top"/>
    </xf>
    <xf numFmtId="0" fontId="8" fillId="0" borderId="1" xfId="0" applyFont="1" applyBorder="1" applyAlignment="1">
      <alignment horizontal="center" vertical="top"/>
    </xf>
    <xf numFmtId="0" fontId="10" fillId="7" borderId="1" xfId="1" applyFont="1" applyFill="1" applyBorder="1" applyAlignment="1">
      <alignment horizontal="center" vertical="top"/>
    </xf>
    <xf numFmtId="0" fontId="10" fillId="0" borderId="1" xfId="1" applyFont="1" applyBorder="1" applyAlignment="1">
      <alignment horizontal="center" vertical="top"/>
    </xf>
    <xf numFmtId="0" fontId="8" fillId="2" borderId="1" xfId="0" applyFont="1" applyFill="1" applyBorder="1" applyAlignment="1">
      <alignment horizontal="center"/>
    </xf>
    <xf numFmtId="0" fontId="9" fillId="2" borderId="1" xfId="0" applyFont="1" applyFill="1" applyBorder="1" applyAlignment="1">
      <alignment horizontal="center"/>
    </xf>
    <xf numFmtId="0" fontId="8" fillId="4" borderId="1" xfId="0" applyFont="1" applyFill="1" applyBorder="1" applyAlignment="1">
      <alignment horizontal="center" vertical="top"/>
    </xf>
    <xf numFmtId="0" fontId="11" fillId="4" borderId="1" xfId="0" applyFont="1" applyFill="1" applyBorder="1" applyAlignment="1">
      <alignment horizontal="center" vertical="center"/>
    </xf>
    <xf numFmtId="0" fontId="11" fillId="0" borderId="1" xfId="0" applyFont="1" applyBorder="1" applyAlignment="1">
      <alignment horizontal="center" vertical="center"/>
    </xf>
    <xf numFmtId="0" fontId="11" fillId="7" borderId="1" xfId="0" applyFont="1" applyFill="1" applyBorder="1" applyAlignment="1">
      <alignment horizontal="center" vertical="top"/>
    </xf>
    <xf numFmtId="0" fontId="12" fillId="0" borderId="1" xfId="1" applyFont="1" applyBorder="1" applyAlignment="1">
      <alignment horizontal="center" vertical="top"/>
    </xf>
    <xf numFmtId="0" fontId="11" fillId="2" borderId="1" xfId="0" applyFont="1" applyFill="1" applyBorder="1" applyAlignment="1">
      <alignment horizontal="center" vertical="center"/>
    </xf>
    <xf numFmtId="0" fontId="11" fillId="2" borderId="1" xfId="0" applyFont="1" applyFill="1" applyBorder="1" applyAlignment="1">
      <alignment horizontal="center"/>
    </xf>
    <xf numFmtId="0" fontId="13" fillId="2" borderId="1" xfId="0" applyFont="1" applyFill="1" applyBorder="1" applyAlignment="1">
      <alignment horizontal="center"/>
    </xf>
    <xf numFmtId="0" fontId="11" fillId="4" borderId="1" xfId="0" applyFont="1" applyFill="1" applyBorder="1" applyAlignment="1">
      <alignment horizontal="center" vertical="top"/>
    </xf>
    <xf numFmtId="0" fontId="11" fillId="5" borderId="1" xfId="0" applyFont="1" applyFill="1" applyBorder="1" applyAlignment="1">
      <alignment horizontal="center" vertical="top"/>
    </xf>
    <xf numFmtId="0" fontId="8" fillId="5" borderId="1" xfId="0" applyFont="1" applyFill="1" applyBorder="1" applyAlignment="1">
      <alignment horizontal="center" vertical="top"/>
    </xf>
    <xf numFmtId="0" fontId="13" fillId="2" borderId="1" xfId="0" applyFont="1" applyFill="1" applyBorder="1" applyAlignment="1">
      <alignment horizontal="center" vertical="center"/>
    </xf>
    <xf numFmtId="0" fontId="11" fillId="5" borderId="1" xfId="0" applyFont="1" applyFill="1" applyBorder="1" applyAlignment="1">
      <alignment horizontal="center" vertical="center"/>
    </xf>
    <xf numFmtId="0" fontId="11" fillId="7" borderId="1" xfId="0" applyFont="1" applyFill="1" applyBorder="1" applyAlignment="1">
      <alignment horizontal="center" vertical="center"/>
    </xf>
    <xf numFmtId="0" fontId="12" fillId="0" borderId="1" xfId="1" applyFont="1" applyBorder="1" applyAlignment="1">
      <alignment horizontal="center" vertical="center"/>
    </xf>
    <xf numFmtId="0" fontId="12" fillId="7" borderId="1" xfId="1" applyFont="1" applyFill="1" applyBorder="1" applyAlignment="1">
      <alignment horizontal="center" vertical="center"/>
    </xf>
    <xf numFmtId="0" fontId="11" fillId="8" borderId="1" xfId="0" applyFont="1" applyFill="1" applyBorder="1" applyAlignment="1">
      <alignment horizontal="center" vertical="center"/>
    </xf>
    <xf numFmtId="0" fontId="16" fillId="7" borderId="1" xfId="0" applyFont="1" applyFill="1" applyBorder="1" applyAlignment="1">
      <alignment horizontal="center" vertical="center"/>
    </xf>
    <xf numFmtId="0" fontId="16" fillId="0" borderId="1" xfId="0" applyFont="1" applyBorder="1" applyAlignment="1">
      <alignment horizontal="center" vertical="center"/>
    </xf>
    <xf numFmtId="0" fontId="14" fillId="2" borderId="1" xfId="0" applyFont="1" applyFill="1" applyBorder="1" applyAlignment="1">
      <alignment horizontal="center" vertical="center"/>
    </xf>
    <xf numFmtId="0" fontId="15" fillId="2" borderId="1" xfId="0" applyFont="1" applyFill="1" applyBorder="1" applyAlignment="1">
      <alignment horizontal="center" vertical="center"/>
    </xf>
    <xf numFmtId="0" fontId="16" fillId="5" borderId="1" xfId="0" applyFont="1" applyFill="1" applyBorder="1" applyAlignment="1">
      <alignment horizontal="center" vertical="center"/>
    </xf>
    <xf numFmtId="0" fontId="0" fillId="0" borderId="0" xfId="0" applyAlignment="1"/>
    <xf numFmtId="0" fontId="11" fillId="0" borderId="1" xfId="1" applyFont="1" applyBorder="1" applyAlignment="1">
      <alignment horizontal="center" vertical="center"/>
    </xf>
    <xf numFmtId="0" fontId="0" fillId="5" borderId="1" xfId="0" applyFill="1" applyBorder="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center" vertical="center" wrapText="1"/>
    </xf>
    <xf numFmtId="0" fontId="0" fillId="0" borderId="1" xfId="0" applyFill="1" applyBorder="1" applyAlignment="1">
      <alignment horizontal="center" vertical="center"/>
    </xf>
    <xf numFmtId="0" fontId="8" fillId="3" borderId="1" xfId="0" applyFont="1" applyFill="1" applyBorder="1" applyAlignment="1">
      <alignment horizontal="center" vertical="top"/>
    </xf>
    <xf numFmtId="0" fontId="8" fillId="3" borderId="1" xfId="0" applyFont="1" applyFill="1" applyBorder="1" applyAlignment="1">
      <alignment horizontal="center" vertical="center"/>
    </xf>
    <xf numFmtId="0" fontId="11" fillId="3" borderId="1" xfId="0" applyFont="1" applyFill="1" applyBorder="1" applyAlignment="1">
      <alignment horizontal="center" vertical="top"/>
    </xf>
    <xf numFmtId="0" fontId="16" fillId="3" borderId="1" xfId="0" applyFont="1" applyFill="1" applyBorder="1" applyAlignment="1">
      <alignment horizontal="center" vertical="center"/>
    </xf>
    <xf numFmtId="0" fontId="8" fillId="3" borderId="1" xfId="0" applyFont="1" applyFill="1" applyBorder="1" applyAlignment="1">
      <alignment horizontal="center" vertical="center" wrapText="1"/>
    </xf>
    <xf numFmtId="0" fontId="11" fillId="3" borderId="1" xfId="0" applyFont="1" applyFill="1" applyBorder="1" applyAlignment="1">
      <alignment horizontal="center" vertical="center"/>
    </xf>
    <xf numFmtId="0" fontId="0" fillId="0" borderId="0" xfId="0" applyFill="1" applyBorder="1"/>
    <xf numFmtId="44" fontId="3" fillId="3" borderId="1" xfId="2" applyFont="1" applyFill="1" applyBorder="1" applyAlignment="1">
      <alignment horizontal="center" vertical="center"/>
    </xf>
    <xf numFmtId="44" fontId="4" fillId="3" borderId="1" xfId="2" applyFont="1"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5" borderId="1" xfId="0"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Font="1" applyFill="1" applyBorder="1" applyAlignment="1">
      <alignment horizontal="center" vertical="center"/>
    </xf>
    <xf numFmtId="0" fontId="0" fillId="0" borderId="0" xfId="0" applyBorder="1"/>
    <xf numFmtId="4" fontId="0" fillId="0" borderId="1" xfId="0" applyNumberFormat="1" applyFill="1" applyBorder="1" applyAlignment="1">
      <alignment horizontal="center" vertical="center"/>
    </xf>
    <xf numFmtId="4" fontId="0" fillId="0" borderId="1" xfId="0" applyNumberFormat="1" applyFill="1" applyBorder="1" applyAlignment="1">
      <alignment horizontal="center" vertical="center" wrapText="1"/>
    </xf>
    <xf numFmtId="44" fontId="0" fillId="0" borderId="1" xfId="2" applyFont="1" applyFill="1" applyBorder="1" applyAlignment="1">
      <alignment horizontal="center" vertical="center"/>
    </xf>
    <xf numFmtId="166" fontId="0" fillId="0" borderId="1" xfId="0" applyNumberFormat="1" applyFill="1" applyBorder="1" applyAlignment="1">
      <alignment horizontal="center" vertical="center"/>
    </xf>
    <xf numFmtId="169" fontId="0" fillId="0" borderId="1" xfId="0" applyNumberFormat="1" applyFill="1" applyBorder="1" applyAlignment="1">
      <alignment horizontal="center" vertical="center"/>
    </xf>
    <xf numFmtId="167" fontId="0" fillId="0" borderId="1" xfId="0" applyNumberFormat="1" applyFill="1" applyBorder="1" applyAlignment="1">
      <alignment horizontal="center" vertical="center"/>
    </xf>
    <xf numFmtId="0" fontId="18" fillId="0" borderId="0" xfId="0" applyFont="1"/>
    <xf numFmtId="0" fontId="3" fillId="0" borderId="0" xfId="1" applyFont="1" applyAlignment="1">
      <alignment horizontal="center" vertical="center"/>
    </xf>
    <xf numFmtId="0" fontId="21" fillId="0" borderId="1" xfId="0" applyFont="1" applyBorder="1" applyAlignment="1">
      <alignment horizontal="center" vertical="center"/>
    </xf>
    <xf numFmtId="2" fontId="0" fillId="0" borderId="1" xfId="0" applyNumberFormat="1" applyFill="1" applyBorder="1" applyAlignment="1">
      <alignment horizontal="center" vertical="center"/>
    </xf>
    <xf numFmtId="170" fontId="0" fillId="0" borderId="1" xfId="0" applyNumberFormat="1" applyFill="1" applyBorder="1" applyAlignment="1">
      <alignment horizontal="center" vertical="center"/>
    </xf>
    <xf numFmtId="171" fontId="0" fillId="0" borderId="1" xfId="0" applyNumberFormat="1" applyFill="1" applyBorder="1" applyAlignment="1">
      <alignment horizontal="center" vertical="center"/>
    </xf>
    <xf numFmtId="172" fontId="0" fillId="0" borderId="1" xfId="0" applyNumberFormat="1" applyFill="1" applyBorder="1" applyAlignment="1">
      <alignment horizontal="center" vertical="center"/>
    </xf>
    <xf numFmtId="173" fontId="0" fillId="0" borderId="1" xfId="0" applyNumberFormat="1" applyFill="1" applyBorder="1" applyAlignment="1">
      <alignment horizontal="center" vertical="center"/>
    </xf>
    <xf numFmtId="168" fontId="0" fillId="0" borderId="1" xfId="2" applyNumberFormat="1" applyFont="1" applyFill="1" applyBorder="1" applyAlignment="1">
      <alignment horizontal="center" vertical="center"/>
    </xf>
    <xf numFmtId="174" fontId="0" fillId="0" borderId="1" xfId="0" applyNumberFormat="1" applyFill="1" applyBorder="1" applyAlignment="1">
      <alignment horizontal="center" vertical="center"/>
    </xf>
    <xf numFmtId="175" fontId="0" fillId="0" borderId="1" xfId="0" applyNumberFormat="1" applyFill="1" applyBorder="1" applyAlignment="1">
      <alignment horizontal="center" vertical="center"/>
    </xf>
    <xf numFmtId="167" fontId="0" fillId="0" borderId="1" xfId="2" applyNumberFormat="1" applyFont="1" applyFill="1" applyBorder="1" applyAlignment="1">
      <alignment horizontal="center" vertical="center"/>
    </xf>
    <xf numFmtId="176" fontId="0" fillId="0" borderId="1" xfId="0" applyNumberFormat="1" applyFill="1" applyBorder="1" applyAlignment="1">
      <alignment horizontal="center" vertical="center"/>
    </xf>
    <xf numFmtId="44" fontId="0" fillId="0" borderId="1" xfId="2" applyFont="1" applyFill="1" applyBorder="1" applyAlignment="1">
      <alignment horizontal="center" vertical="center" wrapText="1"/>
    </xf>
    <xf numFmtId="177" fontId="0" fillId="0" borderId="1" xfId="0" applyNumberFormat="1" applyFill="1" applyBorder="1" applyAlignment="1">
      <alignment horizontal="center" vertical="center"/>
    </xf>
    <xf numFmtId="178" fontId="0" fillId="0" borderId="1" xfId="0" applyNumberFormat="1" applyFill="1" applyBorder="1" applyAlignment="1">
      <alignment horizontal="center" vertical="center"/>
    </xf>
    <xf numFmtId="180" fontId="0" fillId="0" borderId="1" xfId="0" applyNumberFormat="1" applyFill="1" applyBorder="1" applyAlignment="1">
      <alignment horizontal="center" vertical="center"/>
    </xf>
    <xf numFmtId="0" fontId="0" fillId="9" borderId="1" xfId="0" applyFont="1" applyFill="1" applyBorder="1" applyAlignment="1">
      <alignment horizontal="center" vertical="center"/>
    </xf>
    <xf numFmtId="9" fontId="0" fillId="0" borderId="1" xfId="0" applyNumberFormat="1" applyFont="1" applyFill="1" applyBorder="1" applyAlignment="1">
      <alignment horizontal="center" vertical="center"/>
    </xf>
    <xf numFmtId="0" fontId="0" fillId="0" borderId="0" xfId="0" applyAlignment="1">
      <alignment horizontal="center" vertical="center"/>
    </xf>
    <xf numFmtId="167" fontId="0" fillId="0" borderId="1" xfId="0" applyNumberFormat="1" applyBorder="1" applyAlignment="1">
      <alignment horizontal="center" vertical="center"/>
    </xf>
    <xf numFmtId="180" fontId="0" fillId="0" borderId="1" xfId="0" applyNumberFormat="1" applyBorder="1" applyAlignment="1">
      <alignment horizontal="center" vertical="center"/>
    </xf>
    <xf numFmtId="167" fontId="24" fillId="0" borderId="1" xfId="0" applyNumberFormat="1" applyFont="1" applyBorder="1" applyAlignment="1">
      <alignment horizontal="center" vertical="center"/>
    </xf>
    <xf numFmtId="44" fontId="0" fillId="0" borderId="1" xfId="2" applyFont="1" applyBorder="1" applyAlignment="1">
      <alignment horizontal="center" vertical="center"/>
    </xf>
    <xf numFmtId="166" fontId="0" fillId="0" borderId="1" xfId="0" applyNumberFormat="1" applyBorder="1" applyAlignment="1">
      <alignment horizontal="center" vertical="center"/>
    </xf>
    <xf numFmtId="0" fontId="0" fillId="2" borderId="1" xfId="0" applyFill="1" applyBorder="1" applyAlignment="1">
      <alignment horizontal="center"/>
    </xf>
    <xf numFmtId="0" fontId="0" fillId="0" borderId="1" xfId="0" applyBorder="1" applyAlignment="1">
      <alignment horizontal="center"/>
    </xf>
    <xf numFmtId="166" fontId="0" fillId="0" borderId="1" xfId="3" applyNumberFormat="1" applyFont="1" applyBorder="1" applyAlignment="1">
      <alignment horizontal="center"/>
    </xf>
    <xf numFmtId="177"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xf numFmtId="0" fontId="25" fillId="0" borderId="1" xfId="0" applyFont="1" applyBorder="1" applyAlignment="1">
      <alignment horizontal="center" vertical="center"/>
    </xf>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Fill="1" applyBorder="1" applyAlignment="1">
      <alignment horizontal="center" vertical="center"/>
    </xf>
    <xf numFmtId="0" fontId="0" fillId="10" borderId="1" xfId="0" applyFont="1" applyFill="1" applyBorder="1" applyAlignment="1">
      <alignment horizontal="center" vertical="center"/>
    </xf>
    <xf numFmtId="0" fontId="8" fillId="10" borderId="1" xfId="0" applyFont="1" applyFill="1" applyBorder="1" applyAlignment="1">
      <alignment horizontal="center" vertical="center"/>
    </xf>
    <xf numFmtId="0" fontId="8" fillId="10" borderId="1" xfId="0" applyFont="1" applyFill="1" applyBorder="1" applyAlignment="1">
      <alignment horizontal="center" vertical="top"/>
    </xf>
    <xf numFmtId="0" fontId="11" fillId="10" borderId="1" xfId="0" applyFont="1" applyFill="1" applyBorder="1" applyAlignment="1">
      <alignment horizontal="center" vertical="top"/>
    </xf>
    <xf numFmtId="0" fontId="9" fillId="2" borderId="4" xfId="0" applyFont="1" applyFill="1" applyBorder="1" applyAlignment="1">
      <alignment horizontal="center" vertical="center"/>
    </xf>
    <xf numFmtId="0" fontId="29" fillId="0" borderId="1" xfId="0" applyFont="1" applyBorder="1" applyAlignment="1">
      <alignment horizontal="center" vertical="center"/>
    </xf>
    <xf numFmtId="0" fontId="28" fillId="0" borderId="1" xfId="0" applyFont="1" applyBorder="1" applyAlignment="1">
      <alignment horizontal="center" vertical="center"/>
    </xf>
    <xf numFmtId="0" fontId="29" fillId="7" borderId="1" xfId="0" applyFont="1" applyFill="1" applyBorder="1" applyAlignment="1">
      <alignment horizontal="center" vertical="center"/>
    </xf>
    <xf numFmtId="0" fontId="28" fillId="7" borderId="1" xfId="0" applyFont="1" applyFill="1" applyBorder="1" applyAlignment="1">
      <alignment horizontal="center" vertical="center"/>
    </xf>
    <xf numFmtId="0" fontId="6" fillId="0" borderId="1" xfId="1" applyBorder="1" applyAlignment="1">
      <alignment horizontal="center" vertical="center"/>
    </xf>
    <xf numFmtId="0" fontId="28" fillId="7" borderId="0" xfId="0" applyFont="1" applyFill="1" applyBorder="1" applyAlignment="1">
      <alignment vertical="top" wrapText="1"/>
    </xf>
    <xf numFmtId="0" fontId="8" fillId="0" borderId="5" xfId="0" applyFont="1" applyFill="1" applyBorder="1" applyAlignment="1"/>
    <xf numFmtId="0" fontId="28" fillId="0" borderId="5" xfId="0" applyFont="1" applyFill="1" applyBorder="1" applyAlignment="1">
      <alignment wrapText="1"/>
    </xf>
    <xf numFmtId="0" fontId="0" fillId="0" borderId="5" xfId="0" applyFill="1" applyBorder="1" applyAlignment="1"/>
    <xf numFmtId="0" fontId="29" fillId="3" borderId="1" xfId="0" applyFont="1" applyFill="1" applyBorder="1" applyAlignment="1">
      <alignment horizontal="center" vertical="center"/>
    </xf>
    <xf numFmtId="0" fontId="29" fillId="5" borderId="1" xfId="0" applyFont="1" applyFill="1" applyBorder="1" applyAlignment="1">
      <alignment horizontal="center" vertical="center"/>
    </xf>
    <xf numFmtId="0" fontId="8" fillId="0" borderId="0" xfId="0" applyFont="1" applyFill="1" applyBorder="1" applyAlignment="1">
      <alignment horizontal="center"/>
    </xf>
    <xf numFmtId="0" fontId="9" fillId="0" borderId="0" xfId="0" applyFont="1" applyFill="1" applyBorder="1" applyAlignment="1">
      <alignment horizontal="center"/>
    </xf>
    <xf numFmtId="0" fontId="0" fillId="0" borderId="0" xfId="0" applyFill="1"/>
    <xf numFmtId="0" fontId="10" fillId="0" borderId="0" xfId="1" applyFont="1" applyFill="1" applyBorder="1" applyAlignment="1">
      <alignment horizontal="center" vertical="top"/>
    </xf>
    <xf numFmtId="0" fontId="8" fillId="0" borderId="0" xfId="0" applyFont="1" applyFill="1" applyBorder="1" applyAlignment="1">
      <alignment horizontal="center" vertical="top"/>
    </xf>
    <xf numFmtId="0" fontId="10" fillId="0" borderId="1" xfId="1" applyFont="1" applyFill="1" applyBorder="1" applyAlignment="1">
      <alignment horizontal="center" vertical="top"/>
    </xf>
    <xf numFmtId="0" fontId="8" fillId="0" borderId="1" xfId="0" applyFont="1" applyFill="1" applyBorder="1" applyAlignment="1">
      <alignment horizontal="center" vertical="top"/>
    </xf>
    <xf numFmtId="0" fontId="8" fillId="0" borderId="1" xfId="0" applyFont="1" applyFill="1" applyBorder="1" applyAlignment="1">
      <alignment horizontal="center"/>
    </xf>
    <xf numFmtId="0" fontId="28" fillId="0" borderId="1" xfId="0" applyFont="1" applyFill="1" applyBorder="1" applyAlignment="1">
      <alignment horizontal="center" vertical="center"/>
    </xf>
    <xf numFmtId="0" fontId="6" fillId="0" borderId="1" xfId="1" applyFill="1" applyBorder="1" applyAlignment="1">
      <alignment horizontal="center" vertical="center"/>
    </xf>
    <xf numFmtId="0" fontId="10" fillId="10" borderId="1" xfId="1" applyFont="1" applyFill="1" applyBorder="1" applyAlignment="1">
      <alignment horizontal="center" vertical="center"/>
    </xf>
    <xf numFmtId="0" fontId="29" fillId="10" borderId="1" xfId="0" applyFont="1" applyFill="1" applyBorder="1" applyAlignment="1">
      <alignment horizontal="center" vertical="center"/>
    </xf>
    <xf numFmtId="0" fontId="0" fillId="10" borderId="1" xfId="0" applyFill="1" applyBorder="1" applyAlignment="1">
      <alignment horizontal="center" vertical="center"/>
    </xf>
    <xf numFmtId="0" fontId="29" fillId="10" borderId="1" xfId="0" applyNumberFormat="1" applyFont="1" applyFill="1" applyBorder="1" applyAlignment="1">
      <alignment horizontal="center" vertical="center"/>
    </xf>
    <xf numFmtId="0" fontId="30" fillId="10" borderId="1" xfId="0" applyFont="1" applyFill="1" applyBorder="1" applyAlignment="1">
      <alignment horizontal="center" vertical="center"/>
    </xf>
    <xf numFmtId="0" fontId="8" fillId="10" borderId="4" xfId="0" applyFont="1" applyFill="1" applyBorder="1" applyAlignment="1">
      <alignment horizontal="center" vertical="center"/>
    </xf>
    <xf numFmtId="0" fontId="30" fillId="10" borderId="4" xfId="0" applyFont="1" applyFill="1" applyBorder="1" applyAlignment="1">
      <alignment horizontal="center" vertical="center"/>
    </xf>
    <xf numFmtId="0" fontId="16" fillId="10" borderId="1" xfId="0" applyFont="1" applyFill="1" applyBorder="1" applyAlignment="1">
      <alignment horizontal="center" vertical="center"/>
    </xf>
    <xf numFmtId="0" fontId="0" fillId="4" borderId="3" xfId="0" applyFill="1" applyBorder="1" applyAlignment="1">
      <alignment horizontal="center" vertical="center"/>
    </xf>
    <xf numFmtId="0" fontId="0" fillId="4" borderId="3" xfId="0" applyFont="1" applyFill="1" applyBorder="1" applyAlignment="1">
      <alignment horizontal="center" vertical="center"/>
    </xf>
    <xf numFmtId="0" fontId="0" fillId="9" borderId="1" xfId="0" applyFill="1" applyBorder="1" applyAlignment="1">
      <alignment horizontal="center" vertical="center"/>
    </xf>
    <xf numFmtId="0" fontId="0" fillId="9" borderId="0" xfId="0" applyFill="1"/>
    <xf numFmtId="0" fontId="0" fillId="0" borderId="4" xfId="0" applyFill="1" applyBorder="1" applyAlignment="1">
      <alignment horizontal="center" vertical="center"/>
    </xf>
    <xf numFmtId="0" fontId="0" fillId="0" borderId="6" xfId="0" applyFill="1" applyBorder="1" applyAlignment="1">
      <alignment horizontal="center" vertical="center"/>
    </xf>
    <xf numFmtId="2" fontId="0" fillId="0" borderId="4" xfId="0" applyNumberFormat="1" applyFill="1" applyBorder="1" applyAlignment="1">
      <alignment horizontal="center" vertical="center"/>
    </xf>
    <xf numFmtId="2" fontId="0" fillId="0" borderId="6" xfId="0" applyNumberFormat="1" applyFill="1" applyBorder="1" applyAlignment="1">
      <alignment horizontal="center" vertical="center"/>
    </xf>
    <xf numFmtId="179" fontId="0" fillId="0" borderId="4" xfId="0" applyNumberFormat="1" applyFill="1" applyBorder="1" applyAlignment="1">
      <alignment horizontal="center" vertical="center"/>
    </xf>
    <xf numFmtId="179" fontId="0" fillId="0" borderId="6" xfId="0" applyNumberFormat="1" applyFill="1" applyBorder="1" applyAlignment="1">
      <alignment horizontal="center" vertical="center"/>
    </xf>
  </cellXfs>
  <cellStyles count="4">
    <cellStyle name="Lien hypertexte" xfId="1" builtinId="8"/>
    <cellStyle name="Monétaire" xfId="2" builtinId="4"/>
    <cellStyle name="Normal" xfId="0" builtinId="0"/>
    <cellStyle name="Pourcentage" xfId="3"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66</xdr:col>
      <xdr:colOff>0</xdr:colOff>
      <xdr:row>4</xdr:row>
      <xdr:rowOff>0</xdr:rowOff>
    </xdr:from>
    <xdr:to>
      <xdr:col>66</xdr:col>
      <xdr:colOff>304800</xdr:colOff>
      <xdr:row>5</xdr:row>
      <xdr:rowOff>114300</xdr:rowOff>
    </xdr:to>
    <xdr:sp macro="" textlink="">
      <xdr:nvSpPr>
        <xdr:cNvPr id="2" name="AutoShape 1" descr="Austria"/>
        <xdr:cNvSpPr>
          <a:spLocks noChangeAspect="1" noChangeArrowheads="1"/>
        </xdr:cNvSpPr>
      </xdr:nvSpPr>
      <xdr:spPr bwMode="auto">
        <a:xfrm>
          <a:off x="90382725" y="78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xdr:row>
      <xdr:rowOff>0</xdr:rowOff>
    </xdr:from>
    <xdr:to>
      <xdr:col>66</xdr:col>
      <xdr:colOff>304800</xdr:colOff>
      <xdr:row>6</xdr:row>
      <xdr:rowOff>114300</xdr:rowOff>
    </xdr:to>
    <xdr:sp macro="" textlink="">
      <xdr:nvSpPr>
        <xdr:cNvPr id="3" name="AutoShape 2" descr="Azerbaijan"/>
        <xdr:cNvSpPr>
          <a:spLocks noChangeAspect="1" noChangeArrowheads="1"/>
        </xdr:cNvSpPr>
      </xdr:nvSpPr>
      <xdr:spPr bwMode="auto">
        <a:xfrm>
          <a:off x="90382725" y="981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6</xdr:row>
      <xdr:rowOff>0</xdr:rowOff>
    </xdr:from>
    <xdr:to>
      <xdr:col>66</xdr:col>
      <xdr:colOff>304800</xdr:colOff>
      <xdr:row>7</xdr:row>
      <xdr:rowOff>114300</xdr:rowOff>
    </xdr:to>
    <xdr:sp macro="" textlink="">
      <xdr:nvSpPr>
        <xdr:cNvPr id="4" name="AutoShape 3" descr="Belarus"/>
        <xdr:cNvSpPr>
          <a:spLocks noChangeAspect="1" noChangeArrowheads="1"/>
        </xdr:cNvSpPr>
      </xdr:nvSpPr>
      <xdr:spPr bwMode="auto">
        <a:xfrm>
          <a:off x="90382725" y="118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7</xdr:row>
      <xdr:rowOff>0</xdr:rowOff>
    </xdr:from>
    <xdr:to>
      <xdr:col>66</xdr:col>
      <xdr:colOff>304800</xdr:colOff>
      <xdr:row>8</xdr:row>
      <xdr:rowOff>114300</xdr:rowOff>
    </xdr:to>
    <xdr:sp macro="" textlink="">
      <xdr:nvSpPr>
        <xdr:cNvPr id="5" name="AutoShape 4" descr="Belgium"/>
        <xdr:cNvSpPr>
          <a:spLocks noChangeAspect="1" noChangeArrowheads="1"/>
        </xdr:cNvSpPr>
      </xdr:nvSpPr>
      <xdr:spPr bwMode="auto">
        <a:xfrm>
          <a:off x="90382725" y="1381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8</xdr:row>
      <xdr:rowOff>0</xdr:rowOff>
    </xdr:from>
    <xdr:to>
      <xdr:col>66</xdr:col>
      <xdr:colOff>304800</xdr:colOff>
      <xdr:row>9</xdr:row>
      <xdr:rowOff>114300</xdr:rowOff>
    </xdr:to>
    <xdr:sp macro="" textlink="">
      <xdr:nvSpPr>
        <xdr:cNvPr id="6" name="AutoShape 5" descr="Bulgaria"/>
        <xdr:cNvSpPr>
          <a:spLocks noChangeAspect="1" noChangeArrowheads="1"/>
        </xdr:cNvSpPr>
      </xdr:nvSpPr>
      <xdr:spPr bwMode="auto">
        <a:xfrm>
          <a:off x="90382725" y="1581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9</xdr:row>
      <xdr:rowOff>0</xdr:rowOff>
    </xdr:from>
    <xdr:to>
      <xdr:col>66</xdr:col>
      <xdr:colOff>304800</xdr:colOff>
      <xdr:row>10</xdr:row>
      <xdr:rowOff>114300</xdr:rowOff>
    </xdr:to>
    <xdr:sp macro="" textlink="">
      <xdr:nvSpPr>
        <xdr:cNvPr id="7" name="AutoShape 6" descr="Canada"/>
        <xdr:cNvSpPr>
          <a:spLocks noChangeAspect="1" noChangeArrowheads="1"/>
        </xdr:cNvSpPr>
      </xdr:nvSpPr>
      <xdr:spPr bwMode="auto">
        <a:xfrm>
          <a:off x="90382725" y="1781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10</xdr:row>
      <xdr:rowOff>0</xdr:rowOff>
    </xdr:from>
    <xdr:to>
      <xdr:col>66</xdr:col>
      <xdr:colOff>304800</xdr:colOff>
      <xdr:row>11</xdr:row>
      <xdr:rowOff>114300</xdr:rowOff>
    </xdr:to>
    <xdr:sp macro="" textlink="">
      <xdr:nvSpPr>
        <xdr:cNvPr id="8" name="AutoShape 7" descr="China"/>
        <xdr:cNvSpPr>
          <a:spLocks noChangeAspect="1" noChangeArrowheads="1"/>
        </xdr:cNvSpPr>
      </xdr:nvSpPr>
      <xdr:spPr bwMode="auto">
        <a:xfrm>
          <a:off x="90382725"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11</xdr:row>
      <xdr:rowOff>0</xdr:rowOff>
    </xdr:from>
    <xdr:to>
      <xdr:col>66</xdr:col>
      <xdr:colOff>304800</xdr:colOff>
      <xdr:row>12</xdr:row>
      <xdr:rowOff>114300</xdr:rowOff>
    </xdr:to>
    <xdr:sp macro="" textlink="">
      <xdr:nvSpPr>
        <xdr:cNvPr id="9" name="AutoShape 8" descr="Croatia"/>
        <xdr:cNvSpPr>
          <a:spLocks noChangeAspect="1" noChangeArrowheads="1"/>
        </xdr:cNvSpPr>
      </xdr:nvSpPr>
      <xdr:spPr bwMode="auto">
        <a:xfrm>
          <a:off x="90382725" y="218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12</xdr:row>
      <xdr:rowOff>0</xdr:rowOff>
    </xdr:from>
    <xdr:to>
      <xdr:col>66</xdr:col>
      <xdr:colOff>304800</xdr:colOff>
      <xdr:row>13</xdr:row>
      <xdr:rowOff>114300</xdr:rowOff>
    </xdr:to>
    <xdr:sp macro="" textlink="">
      <xdr:nvSpPr>
        <xdr:cNvPr id="10" name="AutoShape 9" descr="Cyprus"/>
        <xdr:cNvSpPr>
          <a:spLocks noChangeAspect="1" noChangeArrowheads="1"/>
        </xdr:cNvSpPr>
      </xdr:nvSpPr>
      <xdr:spPr bwMode="auto">
        <a:xfrm>
          <a:off x="90382725" y="238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13</xdr:row>
      <xdr:rowOff>0</xdr:rowOff>
    </xdr:from>
    <xdr:to>
      <xdr:col>66</xdr:col>
      <xdr:colOff>304800</xdr:colOff>
      <xdr:row>14</xdr:row>
      <xdr:rowOff>114300</xdr:rowOff>
    </xdr:to>
    <xdr:sp macro="" textlink="">
      <xdr:nvSpPr>
        <xdr:cNvPr id="11" name="AutoShape 10" descr="Czech Republic"/>
        <xdr:cNvSpPr>
          <a:spLocks noChangeAspect="1" noChangeArrowheads="1"/>
        </xdr:cNvSpPr>
      </xdr:nvSpPr>
      <xdr:spPr bwMode="auto">
        <a:xfrm>
          <a:off x="90382725" y="2962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14</xdr:row>
      <xdr:rowOff>0</xdr:rowOff>
    </xdr:from>
    <xdr:to>
      <xdr:col>66</xdr:col>
      <xdr:colOff>304800</xdr:colOff>
      <xdr:row>15</xdr:row>
      <xdr:rowOff>114300</xdr:rowOff>
    </xdr:to>
    <xdr:sp macro="" textlink="">
      <xdr:nvSpPr>
        <xdr:cNvPr id="12" name="AutoShape 11" descr="Denmark"/>
        <xdr:cNvSpPr>
          <a:spLocks noChangeAspect="1" noChangeArrowheads="1"/>
        </xdr:cNvSpPr>
      </xdr:nvSpPr>
      <xdr:spPr bwMode="auto">
        <a:xfrm>
          <a:off x="90382725" y="31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15</xdr:row>
      <xdr:rowOff>0</xdr:rowOff>
    </xdr:from>
    <xdr:to>
      <xdr:col>66</xdr:col>
      <xdr:colOff>304800</xdr:colOff>
      <xdr:row>16</xdr:row>
      <xdr:rowOff>114300</xdr:rowOff>
    </xdr:to>
    <xdr:sp macro="" textlink="">
      <xdr:nvSpPr>
        <xdr:cNvPr id="13" name="AutoShape 12" descr="Estonia"/>
        <xdr:cNvSpPr>
          <a:spLocks noChangeAspect="1" noChangeArrowheads="1"/>
        </xdr:cNvSpPr>
      </xdr:nvSpPr>
      <xdr:spPr bwMode="auto">
        <a:xfrm>
          <a:off x="90382725" y="3362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16</xdr:row>
      <xdr:rowOff>0</xdr:rowOff>
    </xdr:from>
    <xdr:to>
      <xdr:col>66</xdr:col>
      <xdr:colOff>304800</xdr:colOff>
      <xdr:row>17</xdr:row>
      <xdr:rowOff>114300</xdr:rowOff>
    </xdr:to>
    <xdr:sp macro="" textlink="">
      <xdr:nvSpPr>
        <xdr:cNvPr id="14" name="AutoShape 13" descr="FYROM"/>
        <xdr:cNvSpPr>
          <a:spLocks noChangeAspect="1" noChangeArrowheads="1"/>
        </xdr:cNvSpPr>
      </xdr:nvSpPr>
      <xdr:spPr bwMode="auto">
        <a:xfrm>
          <a:off x="90382725" y="3562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17</xdr:row>
      <xdr:rowOff>0</xdr:rowOff>
    </xdr:from>
    <xdr:to>
      <xdr:col>66</xdr:col>
      <xdr:colOff>304800</xdr:colOff>
      <xdr:row>18</xdr:row>
      <xdr:rowOff>114300</xdr:rowOff>
    </xdr:to>
    <xdr:sp macro="" textlink="">
      <xdr:nvSpPr>
        <xdr:cNvPr id="15" name="AutoShape 14" descr="Finland"/>
        <xdr:cNvSpPr>
          <a:spLocks noChangeAspect="1" noChangeArrowheads="1"/>
        </xdr:cNvSpPr>
      </xdr:nvSpPr>
      <xdr:spPr bwMode="auto">
        <a:xfrm>
          <a:off x="90382725" y="3762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18</xdr:row>
      <xdr:rowOff>0</xdr:rowOff>
    </xdr:from>
    <xdr:to>
      <xdr:col>66</xdr:col>
      <xdr:colOff>304800</xdr:colOff>
      <xdr:row>19</xdr:row>
      <xdr:rowOff>114300</xdr:rowOff>
    </xdr:to>
    <xdr:sp macro="" textlink="">
      <xdr:nvSpPr>
        <xdr:cNvPr id="16" name="AutoShape 15" descr="France"/>
        <xdr:cNvSpPr>
          <a:spLocks noChangeAspect="1" noChangeArrowheads="1"/>
        </xdr:cNvSpPr>
      </xdr:nvSpPr>
      <xdr:spPr bwMode="auto">
        <a:xfrm>
          <a:off x="90382725" y="39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19</xdr:row>
      <xdr:rowOff>0</xdr:rowOff>
    </xdr:from>
    <xdr:to>
      <xdr:col>66</xdr:col>
      <xdr:colOff>304800</xdr:colOff>
      <xdr:row>20</xdr:row>
      <xdr:rowOff>114300</xdr:rowOff>
    </xdr:to>
    <xdr:sp macro="" textlink="">
      <xdr:nvSpPr>
        <xdr:cNvPr id="17" name="AutoShape 16" descr="Georgia"/>
        <xdr:cNvSpPr>
          <a:spLocks noChangeAspect="1" noChangeArrowheads="1"/>
        </xdr:cNvSpPr>
      </xdr:nvSpPr>
      <xdr:spPr bwMode="auto">
        <a:xfrm>
          <a:off x="90382725" y="4162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20</xdr:row>
      <xdr:rowOff>0</xdr:rowOff>
    </xdr:from>
    <xdr:to>
      <xdr:col>66</xdr:col>
      <xdr:colOff>304800</xdr:colOff>
      <xdr:row>21</xdr:row>
      <xdr:rowOff>114300</xdr:rowOff>
    </xdr:to>
    <xdr:sp macro="" textlink="">
      <xdr:nvSpPr>
        <xdr:cNvPr id="18" name="AutoShape 17" descr="Germany"/>
        <xdr:cNvSpPr>
          <a:spLocks noChangeAspect="1" noChangeArrowheads="1"/>
        </xdr:cNvSpPr>
      </xdr:nvSpPr>
      <xdr:spPr bwMode="auto">
        <a:xfrm>
          <a:off x="90382725" y="4362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21</xdr:row>
      <xdr:rowOff>0</xdr:rowOff>
    </xdr:from>
    <xdr:to>
      <xdr:col>66</xdr:col>
      <xdr:colOff>304800</xdr:colOff>
      <xdr:row>22</xdr:row>
      <xdr:rowOff>114300</xdr:rowOff>
    </xdr:to>
    <xdr:sp macro="" textlink="">
      <xdr:nvSpPr>
        <xdr:cNvPr id="19" name="AutoShape 18" descr="Greece"/>
        <xdr:cNvSpPr>
          <a:spLocks noChangeAspect="1" noChangeArrowheads="1"/>
        </xdr:cNvSpPr>
      </xdr:nvSpPr>
      <xdr:spPr bwMode="auto">
        <a:xfrm>
          <a:off x="90382725" y="4562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22</xdr:row>
      <xdr:rowOff>0</xdr:rowOff>
    </xdr:from>
    <xdr:to>
      <xdr:col>66</xdr:col>
      <xdr:colOff>304800</xdr:colOff>
      <xdr:row>23</xdr:row>
      <xdr:rowOff>114300</xdr:rowOff>
    </xdr:to>
    <xdr:sp macro="" textlink="">
      <xdr:nvSpPr>
        <xdr:cNvPr id="20" name="AutoShape 19" descr="Hungary"/>
        <xdr:cNvSpPr>
          <a:spLocks noChangeAspect="1" noChangeArrowheads="1"/>
        </xdr:cNvSpPr>
      </xdr:nvSpPr>
      <xdr:spPr bwMode="auto">
        <a:xfrm>
          <a:off x="90382725" y="47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23</xdr:row>
      <xdr:rowOff>0</xdr:rowOff>
    </xdr:from>
    <xdr:to>
      <xdr:col>66</xdr:col>
      <xdr:colOff>304800</xdr:colOff>
      <xdr:row>24</xdr:row>
      <xdr:rowOff>114300</xdr:rowOff>
    </xdr:to>
    <xdr:sp macro="" textlink="">
      <xdr:nvSpPr>
        <xdr:cNvPr id="21" name="AutoShape 20" descr="Iceland"/>
        <xdr:cNvSpPr>
          <a:spLocks noChangeAspect="1" noChangeArrowheads="1"/>
        </xdr:cNvSpPr>
      </xdr:nvSpPr>
      <xdr:spPr bwMode="auto">
        <a:xfrm>
          <a:off x="90382725" y="4962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24</xdr:row>
      <xdr:rowOff>0</xdr:rowOff>
    </xdr:from>
    <xdr:to>
      <xdr:col>66</xdr:col>
      <xdr:colOff>304800</xdr:colOff>
      <xdr:row>25</xdr:row>
      <xdr:rowOff>114300</xdr:rowOff>
    </xdr:to>
    <xdr:sp macro="" textlink="">
      <xdr:nvSpPr>
        <xdr:cNvPr id="22" name="AutoShape 21" descr="India"/>
        <xdr:cNvSpPr>
          <a:spLocks noChangeAspect="1" noChangeArrowheads="1"/>
        </xdr:cNvSpPr>
      </xdr:nvSpPr>
      <xdr:spPr bwMode="auto">
        <a:xfrm>
          <a:off x="90382725" y="5162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25</xdr:row>
      <xdr:rowOff>0</xdr:rowOff>
    </xdr:from>
    <xdr:to>
      <xdr:col>66</xdr:col>
      <xdr:colOff>304800</xdr:colOff>
      <xdr:row>26</xdr:row>
      <xdr:rowOff>114300</xdr:rowOff>
    </xdr:to>
    <xdr:sp macro="" textlink="">
      <xdr:nvSpPr>
        <xdr:cNvPr id="23" name="AutoShape 22" descr="Ireland"/>
        <xdr:cNvSpPr>
          <a:spLocks noChangeAspect="1" noChangeArrowheads="1"/>
        </xdr:cNvSpPr>
      </xdr:nvSpPr>
      <xdr:spPr bwMode="auto">
        <a:xfrm>
          <a:off x="90382725" y="5362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26</xdr:row>
      <xdr:rowOff>0</xdr:rowOff>
    </xdr:from>
    <xdr:to>
      <xdr:col>66</xdr:col>
      <xdr:colOff>304800</xdr:colOff>
      <xdr:row>27</xdr:row>
      <xdr:rowOff>114300</xdr:rowOff>
    </xdr:to>
    <xdr:sp macro="" textlink="">
      <xdr:nvSpPr>
        <xdr:cNvPr id="24" name="AutoShape 23" descr="Israel"/>
        <xdr:cNvSpPr>
          <a:spLocks noChangeAspect="1" noChangeArrowheads="1"/>
        </xdr:cNvSpPr>
      </xdr:nvSpPr>
      <xdr:spPr bwMode="auto">
        <a:xfrm>
          <a:off x="90382725" y="5562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27</xdr:row>
      <xdr:rowOff>0</xdr:rowOff>
    </xdr:from>
    <xdr:to>
      <xdr:col>66</xdr:col>
      <xdr:colOff>304800</xdr:colOff>
      <xdr:row>28</xdr:row>
      <xdr:rowOff>114300</xdr:rowOff>
    </xdr:to>
    <xdr:sp macro="" textlink="">
      <xdr:nvSpPr>
        <xdr:cNvPr id="25" name="AutoShape 24" descr="Italy"/>
        <xdr:cNvSpPr>
          <a:spLocks noChangeAspect="1" noChangeArrowheads="1"/>
        </xdr:cNvSpPr>
      </xdr:nvSpPr>
      <xdr:spPr bwMode="auto">
        <a:xfrm>
          <a:off x="90382725" y="5762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28</xdr:row>
      <xdr:rowOff>0</xdr:rowOff>
    </xdr:from>
    <xdr:to>
      <xdr:col>66</xdr:col>
      <xdr:colOff>304800</xdr:colOff>
      <xdr:row>29</xdr:row>
      <xdr:rowOff>114300</xdr:rowOff>
    </xdr:to>
    <xdr:sp macro="" textlink="">
      <xdr:nvSpPr>
        <xdr:cNvPr id="26" name="AutoShape 25" descr="Kazakhstan"/>
        <xdr:cNvSpPr>
          <a:spLocks noChangeAspect="1" noChangeArrowheads="1"/>
        </xdr:cNvSpPr>
      </xdr:nvSpPr>
      <xdr:spPr bwMode="auto">
        <a:xfrm>
          <a:off x="90382725" y="5962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29</xdr:row>
      <xdr:rowOff>0</xdr:rowOff>
    </xdr:from>
    <xdr:to>
      <xdr:col>66</xdr:col>
      <xdr:colOff>304800</xdr:colOff>
      <xdr:row>30</xdr:row>
      <xdr:rowOff>114300</xdr:rowOff>
    </xdr:to>
    <xdr:sp macro="" textlink="">
      <xdr:nvSpPr>
        <xdr:cNvPr id="27" name="AutoShape 26" descr="Kuwait"/>
        <xdr:cNvSpPr>
          <a:spLocks noChangeAspect="1" noChangeArrowheads="1"/>
        </xdr:cNvSpPr>
      </xdr:nvSpPr>
      <xdr:spPr bwMode="auto">
        <a:xfrm>
          <a:off x="90382725" y="6162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30</xdr:row>
      <xdr:rowOff>0</xdr:rowOff>
    </xdr:from>
    <xdr:to>
      <xdr:col>66</xdr:col>
      <xdr:colOff>304800</xdr:colOff>
      <xdr:row>31</xdr:row>
      <xdr:rowOff>114300</xdr:rowOff>
    </xdr:to>
    <xdr:sp macro="" textlink="">
      <xdr:nvSpPr>
        <xdr:cNvPr id="28" name="AutoShape 27" descr="Kyrgyzstan"/>
        <xdr:cNvSpPr>
          <a:spLocks noChangeAspect="1" noChangeArrowheads="1"/>
        </xdr:cNvSpPr>
      </xdr:nvSpPr>
      <xdr:spPr bwMode="auto">
        <a:xfrm>
          <a:off x="90382725" y="66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31</xdr:row>
      <xdr:rowOff>0</xdr:rowOff>
    </xdr:from>
    <xdr:to>
      <xdr:col>66</xdr:col>
      <xdr:colOff>304800</xdr:colOff>
      <xdr:row>32</xdr:row>
      <xdr:rowOff>114300</xdr:rowOff>
    </xdr:to>
    <xdr:sp macro="" textlink="">
      <xdr:nvSpPr>
        <xdr:cNvPr id="29" name="AutoShape 28" descr="Latvia"/>
        <xdr:cNvSpPr>
          <a:spLocks noChangeAspect="1" noChangeArrowheads="1"/>
        </xdr:cNvSpPr>
      </xdr:nvSpPr>
      <xdr:spPr bwMode="auto">
        <a:xfrm>
          <a:off x="90382725" y="682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32</xdr:row>
      <xdr:rowOff>0</xdr:rowOff>
    </xdr:from>
    <xdr:to>
      <xdr:col>66</xdr:col>
      <xdr:colOff>304800</xdr:colOff>
      <xdr:row>33</xdr:row>
      <xdr:rowOff>114300</xdr:rowOff>
    </xdr:to>
    <xdr:sp macro="" textlink="">
      <xdr:nvSpPr>
        <xdr:cNvPr id="30" name="AutoShape 29" descr="Luxembourg"/>
        <xdr:cNvSpPr>
          <a:spLocks noChangeAspect="1" noChangeArrowheads="1"/>
        </xdr:cNvSpPr>
      </xdr:nvSpPr>
      <xdr:spPr bwMode="auto">
        <a:xfrm>
          <a:off x="90382725" y="702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33</xdr:row>
      <xdr:rowOff>0</xdr:rowOff>
    </xdr:from>
    <xdr:to>
      <xdr:col>66</xdr:col>
      <xdr:colOff>304800</xdr:colOff>
      <xdr:row>34</xdr:row>
      <xdr:rowOff>114300</xdr:rowOff>
    </xdr:to>
    <xdr:sp macro="" textlink="">
      <xdr:nvSpPr>
        <xdr:cNvPr id="31" name="AutoShape 30" descr="Malta"/>
        <xdr:cNvSpPr>
          <a:spLocks noChangeAspect="1" noChangeArrowheads="1"/>
        </xdr:cNvSpPr>
      </xdr:nvSpPr>
      <xdr:spPr bwMode="auto">
        <a:xfrm>
          <a:off x="90382725" y="722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34</xdr:row>
      <xdr:rowOff>0</xdr:rowOff>
    </xdr:from>
    <xdr:to>
      <xdr:col>66</xdr:col>
      <xdr:colOff>304800</xdr:colOff>
      <xdr:row>35</xdr:row>
      <xdr:rowOff>114300</xdr:rowOff>
    </xdr:to>
    <xdr:sp macro="" textlink="">
      <xdr:nvSpPr>
        <xdr:cNvPr id="32" name="AutoShape 31" descr="Mexico"/>
        <xdr:cNvSpPr>
          <a:spLocks noChangeAspect="1" noChangeArrowheads="1"/>
        </xdr:cNvSpPr>
      </xdr:nvSpPr>
      <xdr:spPr bwMode="auto">
        <a:xfrm>
          <a:off x="90382725" y="742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35</xdr:row>
      <xdr:rowOff>0</xdr:rowOff>
    </xdr:from>
    <xdr:to>
      <xdr:col>66</xdr:col>
      <xdr:colOff>304800</xdr:colOff>
      <xdr:row>36</xdr:row>
      <xdr:rowOff>114300</xdr:rowOff>
    </xdr:to>
    <xdr:sp macro="" textlink="">
      <xdr:nvSpPr>
        <xdr:cNvPr id="33" name="AutoShape 32" descr="Moldova"/>
        <xdr:cNvSpPr>
          <a:spLocks noChangeAspect="1" noChangeArrowheads="1"/>
        </xdr:cNvSpPr>
      </xdr:nvSpPr>
      <xdr:spPr bwMode="auto">
        <a:xfrm>
          <a:off x="90382725" y="762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36</xdr:row>
      <xdr:rowOff>0</xdr:rowOff>
    </xdr:from>
    <xdr:to>
      <xdr:col>66</xdr:col>
      <xdr:colOff>304800</xdr:colOff>
      <xdr:row>37</xdr:row>
      <xdr:rowOff>114300</xdr:rowOff>
    </xdr:to>
    <xdr:sp macro="" textlink="">
      <xdr:nvSpPr>
        <xdr:cNvPr id="34" name="AutoShape 33" descr="Morocco"/>
        <xdr:cNvSpPr>
          <a:spLocks noChangeAspect="1" noChangeArrowheads="1"/>
        </xdr:cNvSpPr>
      </xdr:nvSpPr>
      <xdr:spPr bwMode="auto">
        <a:xfrm>
          <a:off x="90382725" y="7829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37</xdr:row>
      <xdr:rowOff>0</xdr:rowOff>
    </xdr:from>
    <xdr:to>
      <xdr:col>66</xdr:col>
      <xdr:colOff>304800</xdr:colOff>
      <xdr:row>38</xdr:row>
      <xdr:rowOff>114300</xdr:rowOff>
    </xdr:to>
    <xdr:sp macro="" textlink="">
      <xdr:nvSpPr>
        <xdr:cNvPr id="35" name="AutoShape 34" descr="Netherlands"/>
        <xdr:cNvSpPr>
          <a:spLocks noChangeAspect="1" noChangeArrowheads="1"/>
        </xdr:cNvSpPr>
      </xdr:nvSpPr>
      <xdr:spPr bwMode="auto">
        <a:xfrm>
          <a:off x="90382725" y="8296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38</xdr:row>
      <xdr:rowOff>0</xdr:rowOff>
    </xdr:from>
    <xdr:to>
      <xdr:col>66</xdr:col>
      <xdr:colOff>304800</xdr:colOff>
      <xdr:row>39</xdr:row>
      <xdr:rowOff>114300</xdr:rowOff>
    </xdr:to>
    <xdr:sp macro="" textlink="">
      <xdr:nvSpPr>
        <xdr:cNvPr id="36" name="AutoShape 35" descr="Norway"/>
        <xdr:cNvSpPr>
          <a:spLocks noChangeAspect="1" noChangeArrowheads="1"/>
        </xdr:cNvSpPr>
      </xdr:nvSpPr>
      <xdr:spPr bwMode="auto">
        <a:xfrm>
          <a:off x="90382725" y="849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39</xdr:row>
      <xdr:rowOff>0</xdr:rowOff>
    </xdr:from>
    <xdr:to>
      <xdr:col>66</xdr:col>
      <xdr:colOff>304800</xdr:colOff>
      <xdr:row>40</xdr:row>
      <xdr:rowOff>114300</xdr:rowOff>
    </xdr:to>
    <xdr:sp macro="" textlink="">
      <xdr:nvSpPr>
        <xdr:cNvPr id="37" name="AutoShape 36" descr="Poland"/>
        <xdr:cNvSpPr>
          <a:spLocks noChangeAspect="1" noChangeArrowheads="1"/>
        </xdr:cNvSpPr>
      </xdr:nvSpPr>
      <xdr:spPr bwMode="auto">
        <a:xfrm>
          <a:off x="90382725" y="8696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40</xdr:row>
      <xdr:rowOff>0</xdr:rowOff>
    </xdr:from>
    <xdr:to>
      <xdr:col>66</xdr:col>
      <xdr:colOff>304800</xdr:colOff>
      <xdr:row>41</xdr:row>
      <xdr:rowOff>114300</xdr:rowOff>
    </xdr:to>
    <xdr:sp macro="" textlink="">
      <xdr:nvSpPr>
        <xdr:cNvPr id="38" name="AutoShape 37" descr="Portugal"/>
        <xdr:cNvSpPr>
          <a:spLocks noChangeAspect="1" noChangeArrowheads="1"/>
        </xdr:cNvSpPr>
      </xdr:nvSpPr>
      <xdr:spPr bwMode="auto">
        <a:xfrm>
          <a:off x="90382725" y="8896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41</xdr:row>
      <xdr:rowOff>0</xdr:rowOff>
    </xdr:from>
    <xdr:to>
      <xdr:col>66</xdr:col>
      <xdr:colOff>304800</xdr:colOff>
      <xdr:row>42</xdr:row>
      <xdr:rowOff>114300</xdr:rowOff>
    </xdr:to>
    <xdr:sp macro="" textlink="">
      <xdr:nvSpPr>
        <xdr:cNvPr id="39" name="AutoShape 38" descr="Romania"/>
        <xdr:cNvSpPr>
          <a:spLocks noChangeAspect="1" noChangeArrowheads="1"/>
        </xdr:cNvSpPr>
      </xdr:nvSpPr>
      <xdr:spPr bwMode="auto">
        <a:xfrm>
          <a:off x="90382725" y="9096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42</xdr:row>
      <xdr:rowOff>0</xdr:rowOff>
    </xdr:from>
    <xdr:to>
      <xdr:col>66</xdr:col>
      <xdr:colOff>304800</xdr:colOff>
      <xdr:row>43</xdr:row>
      <xdr:rowOff>114300</xdr:rowOff>
    </xdr:to>
    <xdr:sp macro="" textlink="">
      <xdr:nvSpPr>
        <xdr:cNvPr id="40" name="AutoShape 39" descr="Russia"/>
        <xdr:cNvSpPr>
          <a:spLocks noChangeAspect="1" noChangeArrowheads="1"/>
        </xdr:cNvSpPr>
      </xdr:nvSpPr>
      <xdr:spPr bwMode="auto">
        <a:xfrm>
          <a:off x="90382725" y="9296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43</xdr:row>
      <xdr:rowOff>0</xdr:rowOff>
    </xdr:from>
    <xdr:to>
      <xdr:col>66</xdr:col>
      <xdr:colOff>304800</xdr:colOff>
      <xdr:row>44</xdr:row>
      <xdr:rowOff>114300</xdr:rowOff>
    </xdr:to>
    <xdr:sp macro="" textlink="">
      <xdr:nvSpPr>
        <xdr:cNvPr id="41" name="AutoShape 40" descr="Serbia"/>
        <xdr:cNvSpPr>
          <a:spLocks noChangeAspect="1" noChangeArrowheads="1"/>
        </xdr:cNvSpPr>
      </xdr:nvSpPr>
      <xdr:spPr bwMode="auto">
        <a:xfrm>
          <a:off x="90382725" y="9496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44</xdr:row>
      <xdr:rowOff>0</xdr:rowOff>
    </xdr:from>
    <xdr:to>
      <xdr:col>66</xdr:col>
      <xdr:colOff>304800</xdr:colOff>
      <xdr:row>45</xdr:row>
      <xdr:rowOff>114300</xdr:rowOff>
    </xdr:to>
    <xdr:sp macro="" textlink="">
      <xdr:nvSpPr>
        <xdr:cNvPr id="42" name="AutoShape 41" descr="Singapore"/>
        <xdr:cNvSpPr>
          <a:spLocks noChangeAspect="1" noChangeArrowheads="1"/>
        </xdr:cNvSpPr>
      </xdr:nvSpPr>
      <xdr:spPr bwMode="auto">
        <a:xfrm>
          <a:off x="90382725" y="9696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45</xdr:row>
      <xdr:rowOff>0</xdr:rowOff>
    </xdr:from>
    <xdr:to>
      <xdr:col>66</xdr:col>
      <xdr:colOff>304800</xdr:colOff>
      <xdr:row>46</xdr:row>
      <xdr:rowOff>114300</xdr:rowOff>
    </xdr:to>
    <xdr:sp macro="" textlink="">
      <xdr:nvSpPr>
        <xdr:cNvPr id="43" name="AutoShape 42" descr="Slovakia"/>
        <xdr:cNvSpPr>
          <a:spLocks noChangeAspect="1" noChangeArrowheads="1"/>
        </xdr:cNvSpPr>
      </xdr:nvSpPr>
      <xdr:spPr bwMode="auto">
        <a:xfrm>
          <a:off x="90382725" y="9896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46</xdr:row>
      <xdr:rowOff>0</xdr:rowOff>
    </xdr:from>
    <xdr:to>
      <xdr:col>66</xdr:col>
      <xdr:colOff>304800</xdr:colOff>
      <xdr:row>47</xdr:row>
      <xdr:rowOff>114300</xdr:rowOff>
    </xdr:to>
    <xdr:sp macro="" textlink="">
      <xdr:nvSpPr>
        <xdr:cNvPr id="44" name="AutoShape 43" descr="Slovenia"/>
        <xdr:cNvSpPr>
          <a:spLocks noChangeAspect="1" noChangeArrowheads="1"/>
        </xdr:cNvSpPr>
      </xdr:nvSpPr>
      <xdr:spPr bwMode="auto">
        <a:xfrm>
          <a:off x="90382725" y="100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47</xdr:row>
      <xdr:rowOff>0</xdr:rowOff>
    </xdr:from>
    <xdr:to>
      <xdr:col>66</xdr:col>
      <xdr:colOff>304800</xdr:colOff>
      <xdr:row>48</xdr:row>
      <xdr:rowOff>114300</xdr:rowOff>
    </xdr:to>
    <xdr:sp macro="" textlink="">
      <xdr:nvSpPr>
        <xdr:cNvPr id="45" name="AutoShape 44" descr="South Korea"/>
        <xdr:cNvSpPr>
          <a:spLocks noChangeAspect="1" noChangeArrowheads="1"/>
        </xdr:cNvSpPr>
      </xdr:nvSpPr>
      <xdr:spPr bwMode="auto">
        <a:xfrm>
          <a:off x="90382725" y="10296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48</xdr:row>
      <xdr:rowOff>0</xdr:rowOff>
    </xdr:from>
    <xdr:to>
      <xdr:col>66</xdr:col>
      <xdr:colOff>304800</xdr:colOff>
      <xdr:row>49</xdr:row>
      <xdr:rowOff>114300</xdr:rowOff>
    </xdr:to>
    <xdr:sp macro="" textlink="">
      <xdr:nvSpPr>
        <xdr:cNvPr id="46" name="AutoShape 45" descr="Spain"/>
        <xdr:cNvSpPr>
          <a:spLocks noChangeAspect="1" noChangeArrowheads="1"/>
        </xdr:cNvSpPr>
      </xdr:nvSpPr>
      <xdr:spPr bwMode="auto">
        <a:xfrm>
          <a:off x="90382725" y="10496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49</xdr:row>
      <xdr:rowOff>0</xdr:rowOff>
    </xdr:from>
    <xdr:to>
      <xdr:col>66</xdr:col>
      <xdr:colOff>304800</xdr:colOff>
      <xdr:row>50</xdr:row>
      <xdr:rowOff>114300</xdr:rowOff>
    </xdr:to>
    <xdr:sp macro="" textlink="">
      <xdr:nvSpPr>
        <xdr:cNvPr id="47" name="AutoShape 46" descr="Sweden"/>
        <xdr:cNvSpPr>
          <a:spLocks noChangeAspect="1" noChangeArrowheads="1"/>
        </xdr:cNvSpPr>
      </xdr:nvSpPr>
      <xdr:spPr bwMode="auto">
        <a:xfrm>
          <a:off x="90382725" y="10696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50</xdr:row>
      <xdr:rowOff>0</xdr:rowOff>
    </xdr:from>
    <xdr:to>
      <xdr:col>66</xdr:col>
      <xdr:colOff>304800</xdr:colOff>
      <xdr:row>51</xdr:row>
      <xdr:rowOff>114300</xdr:rowOff>
    </xdr:to>
    <xdr:sp macro="" textlink="">
      <xdr:nvSpPr>
        <xdr:cNvPr id="48" name="AutoShape 47" descr="Switzerland"/>
        <xdr:cNvSpPr>
          <a:spLocks noChangeAspect="1" noChangeArrowheads="1"/>
        </xdr:cNvSpPr>
      </xdr:nvSpPr>
      <xdr:spPr bwMode="auto">
        <a:xfrm>
          <a:off x="90382725" y="108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51</xdr:row>
      <xdr:rowOff>0</xdr:rowOff>
    </xdr:from>
    <xdr:to>
      <xdr:col>66</xdr:col>
      <xdr:colOff>304800</xdr:colOff>
      <xdr:row>52</xdr:row>
      <xdr:rowOff>114300</xdr:rowOff>
    </xdr:to>
    <xdr:sp macro="" textlink="">
      <xdr:nvSpPr>
        <xdr:cNvPr id="49" name="AutoShape 48" descr="Turkey"/>
        <xdr:cNvSpPr>
          <a:spLocks noChangeAspect="1" noChangeArrowheads="1"/>
        </xdr:cNvSpPr>
      </xdr:nvSpPr>
      <xdr:spPr bwMode="auto">
        <a:xfrm>
          <a:off x="90382725" y="11096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52</xdr:row>
      <xdr:rowOff>0</xdr:rowOff>
    </xdr:from>
    <xdr:to>
      <xdr:col>66</xdr:col>
      <xdr:colOff>304800</xdr:colOff>
      <xdr:row>53</xdr:row>
      <xdr:rowOff>114300</xdr:rowOff>
    </xdr:to>
    <xdr:sp macro="" textlink="">
      <xdr:nvSpPr>
        <xdr:cNvPr id="50" name="AutoShape 49" descr="Turkmenistan"/>
        <xdr:cNvSpPr>
          <a:spLocks noChangeAspect="1" noChangeArrowheads="1"/>
        </xdr:cNvSpPr>
      </xdr:nvSpPr>
      <xdr:spPr bwMode="auto">
        <a:xfrm>
          <a:off x="90382725" y="11296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53</xdr:row>
      <xdr:rowOff>0</xdr:rowOff>
    </xdr:from>
    <xdr:to>
      <xdr:col>66</xdr:col>
      <xdr:colOff>304800</xdr:colOff>
      <xdr:row>54</xdr:row>
      <xdr:rowOff>114300</xdr:rowOff>
    </xdr:to>
    <xdr:sp macro="" textlink="">
      <xdr:nvSpPr>
        <xdr:cNvPr id="51" name="AutoShape 50" descr="Ukraine"/>
        <xdr:cNvSpPr>
          <a:spLocks noChangeAspect="1" noChangeArrowheads="1"/>
        </xdr:cNvSpPr>
      </xdr:nvSpPr>
      <xdr:spPr bwMode="auto">
        <a:xfrm>
          <a:off x="90382725" y="11496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54</xdr:row>
      <xdr:rowOff>0</xdr:rowOff>
    </xdr:from>
    <xdr:to>
      <xdr:col>66</xdr:col>
      <xdr:colOff>304800</xdr:colOff>
      <xdr:row>55</xdr:row>
      <xdr:rowOff>114300</xdr:rowOff>
    </xdr:to>
    <xdr:sp macro="" textlink="">
      <xdr:nvSpPr>
        <xdr:cNvPr id="52" name="AutoShape 51" descr="United Arab Emirates"/>
        <xdr:cNvSpPr>
          <a:spLocks noChangeAspect="1" noChangeArrowheads="1"/>
        </xdr:cNvSpPr>
      </xdr:nvSpPr>
      <xdr:spPr bwMode="auto">
        <a:xfrm>
          <a:off x="90382725" y="1169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55</xdr:row>
      <xdr:rowOff>0</xdr:rowOff>
    </xdr:from>
    <xdr:to>
      <xdr:col>66</xdr:col>
      <xdr:colOff>304800</xdr:colOff>
      <xdr:row>56</xdr:row>
      <xdr:rowOff>114300</xdr:rowOff>
    </xdr:to>
    <xdr:sp macro="" textlink="">
      <xdr:nvSpPr>
        <xdr:cNvPr id="53" name="AutoShape 52" descr="United Kingdom"/>
        <xdr:cNvSpPr>
          <a:spLocks noChangeAspect="1" noChangeArrowheads="1"/>
        </xdr:cNvSpPr>
      </xdr:nvSpPr>
      <xdr:spPr bwMode="auto">
        <a:xfrm>
          <a:off x="90382725" y="11896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56</xdr:row>
      <xdr:rowOff>0</xdr:rowOff>
    </xdr:from>
    <xdr:to>
      <xdr:col>66</xdr:col>
      <xdr:colOff>304800</xdr:colOff>
      <xdr:row>57</xdr:row>
      <xdr:rowOff>114300</xdr:rowOff>
    </xdr:to>
    <xdr:sp macro="" textlink="">
      <xdr:nvSpPr>
        <xdr:cNvPr id="54" name="AutoShape 53" descr="United States"/>
        <xdr:cNvSpPr>
          <a:spLocks noChangeAspect="1" noChangeArrowheads="1"/>
        </xdr:cNvSpPr>
      </xdr:nvSpPr>
      <xdr:spPr bwMode="auto">
        <a:xfrm>
          <a:off x="90382725" y="12096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66</xdr:col>
      <xdr:colOff>0</xdr:colOff>
      <xdr:row>57</xdr:row>
      <xdr:rowOff>0</xdr:rowOff>
    </xdr:from>
    <xdr:to>
      <xdr:col>66</xdr:col>
      <xdr:colOff>304800</xdr:colOff>
      <xdr:row>58</xdr:row>
      <xdr:rowOff>114300</xdr:rowOff>
    </xdr:to>
    <xdr:sp macro="" textlink="">
      <xdr:nvSpPr>
        <xdr:cNvPr id="55" name="AutoShape 54" descr="Uzbekistan"/>
        <xdr:cNvSpPr>
          <a:spLocks noChangeAspect="1" noChangeArrowheads="1"/>
        </xdr:cNvSpPr>
      </xdr:nvSpPr>
      <xdr:spPr bwMode="auto">
        <a:xfrm>
          <a:off x="90382725" y="12296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xdr:row>
      <xdr:rowOff>0</xdr:rowOff>
    </xdr:from>
    <xdr:to>
      <xdr:col>41</xdr:col>
      <xdr:colOff>304800</xdr:colOff>
      <xdr:row>4</xdr:row>
      <xdr:rowOff>114300</xdr:rowOff>
    </xdr:to>
    <xdr:sp macro="" textlink="">
      <xdr:nvSpPr>
        <xdr:cNvPr id="56" name="AutoShape 1" descr="Belgium"/>
        <xdr:cNvSpPr>
          <a:spLocks noChangeAspect="1" noChangeArrowheads="1"/>
        </xdr:cNvSpPr>
      </xdr:nvSpPr>
      <xdr:spPr bwMode="auto">
        <a:xfrm>
          <a:off x="61369575" y="59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4</xdr:row>
      <xdr:rowOff>0</xdr:rowOff>
    </xdr:from>
    <xdr:to>
      <xdr:col>41</xdr:col>
      <xdr:colOff>304800</xdr:colOff>
      <xdr:row>5</xdr:row>
      <xdr:rowOff>114300</xdr:rowOff>
    </xdr:to>
    <xdr:sp macro="" textlink="">
      <xdr:nvSpPr>
        <xdr:cNvPr id="57" name="AutoShape 2" descr="Brunei"/>
        <xdr:cNvSpPr>
          <a:spLocks noChangeAspect="1" noChangeArrowheads="1"/>
        </xdr:cNvSpPr>
      </xdr:nvSpPr>
      <xdr:spPr bwMode="auto">
        <a:xfrm>
          <a:off x="61369575" y="79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5</xdr:row>
      <xdr:rowOff>0</xdr:rowOff>
    </xdr:from>
    <xdr:to>
      <xdr:col>41</xdr:col>
      <xdr:colOff>304800</xdr:colOff>
      <xdr:row>6</xdr:row>
      <xdr:rowOff>114300</xdr:rowOff>
    </xdr:to>
    <xdr:sp macro="" textlink="">
      <xdr:nvSpPr>
        <xdr:cNvPr id="58" name="AutoShape 3" descr="Canada"/>
        <xdr:cNvSpPr>
          <a:spLocks noChangeAspect="1" noChangeArrowheads="1"/>
        </xdr:cNvSpPr>
      </xdr:nvSpPr>
      <xdr:spPr bwMode="auto">
        <a:xfrm>
          <a:off x="61369575" y="99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6</xdr:row>
      <xdr:rowOff>0</xdr:rowOff>
    </xdr:from>
    <xdr:to>
      <xdr:col>41</xdr:col>
      <xdr:colOff>304800</xdr:colOff>
      <xdr:row>7</xdr:row>
      <xdr:rowOff>114300</xdr:rowOff>
    </xdr:to>
    <xdr:sp macro="" textlink="">
      <xdr:nvSpPr>
        <xdr:cNvPr id="59" name="AutoShape 4" descr="China"/>
        <xdr:cNvSpPr>
          <a:spLocks noChangeAspect="1" noChangeArrowheads="1"/>
        </xdr:cNvSpPr>
      </xdr:nvSpPr>
      <xdr:spPr bwMode="auto">
        <a:xfrm>
          <a:off x="61369575" y="119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7</xdr:row>
      <xdr:rowOff>0</xdr:rowOff>
    </xdr:from>
    <xdr:to>
      <xdr:col>41</xdr:col>
      <xdr:colOff>304800</xdr:colOff>
      <xdr:row>8</xdr:row>
      <xdr:rowOff>114300</xdr:rowOff>
    </xdr:to>
    <xdr:sp macro="" textlink="">
      <xdr:nvSpPr>
        <xdr:cNvPr id="60" name="AutoShape 5" descr="Czech Republic"/>
        <xdr:cNvSpPr>
          <a:spLocks noChangeAspect="1" noChangeArrowheads="1"/>
        </xdr:cNvSpPr>
      </xdr:nvSpPr>
      <xdr:spPr bwMode="auto">
        <a:xfrm>
          <a:off x="61369575" y="1390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8</xdr:row>
      <xdr:rowOff>0</xdr:rowOff>
    </xdr:from>
    <xdr:to>
      <xdr:col>41</xdr:col>
      <xdr:colOff>304800</xdr:colOff>
      <xdr:row>9</xdr:row>
      <xdr:rowOff>114300</xdr:rowOff>
    </xdr:to>
    <xdr:sp macro="" textlink="">
      <xdr:nvSpPr>
        <xdr:cNvPr id="61" name="AutoShape 6" descr="France"/>
        <xdr:cNvSpPr>
          <a:spLocks noChangeAspect="1" noChangeArrowheads="1"/>
        </xdr:cNvSpPr>
      </xdr:nvSpPr>
      <xdr:spPr bwMode="auto">
        <a:xfrm>
          <a:off x="61369575" y="159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9</xdr:row>
      <xdr:rowOff>0</xdr:rowOff>
    </xdr:from>
    <xdr:to>
      <xdr:col>41</xdr:col>
      <xdr:colOff>304800</xdr:colOff>
      <xdr:row>10</xdr:row>
      <xdr:rowOff>114300</xdr:rowOff>
    </xdr:to>
    <xdr:sp macro="" textlink="">
      <xdr:nvSpPr>
        <xdr:cNvPr id="62" name="AutoShape 7" descr="Guernsey"/>
        <xdr:cNvSpPr>
          <a:spLocks noChangeAspect="1" noChangeArrowheads="1"/>
        </xdr:cNvSpPr>
      </xdr:nvSpPr>
      <xdr:spPr bwMode="auto">
        <a:xfrm>
          <a:off x="61369575" y="179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10</xdr:row>
      <xdr:rowOff>0</xdr:rowOff>
    </xdr:from>
    <xdr:to>
      <xdr:col>41</xdr:col>
      <xdr:colOff>304800</xdr:colOff>
      <xdr:row>11</xdr:row>
      <xdr:rowOff>114300</xdr:rowOff>
    </xdr:to>
    <xdr:sp macro="" textlink="">
      <xdr:nvSpPr>
        <xdr:cNvPr id="63" name="AutoShape 8" descr="Hungary"/>
        <xdr:cNvSpPr>
          <a:spLocks noChangeAspect="1" noChangeArrowheads="1"/>
        </xdr:cNvSpPr>
      </xdr:nvSpPr>
      <xdr:spPr bwMode="auto">
        <a:xfrm>
          <a:off x="61369575" y="199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11</xdr:row>
      <xdr:rowOff>0</xdr:rowOff>
    </xdr:from>
    <xdr:to>
      <xdr:col>41</xdr:col>
      <xdr:colOff>304800</xdr:colOff>
      <xdr:row>12</xdr:row>
      <xdr:rowOff>114300</xdr:rowOff>
    </xdr:to>
    <xdr:sp macro="" textlink="">
      <xdr:nvSpPr>
        <xdr:cNvPr id="256" name="AutoShape 9" descr="Indonesia"/>
        <xdr:cNvSpPr>
          <a:spLocks noChangeAspect="1" noChangeArrowheads="1"/>
        </xdr:cNvSpPr>
      </xdr:nvSpPr>
      <xdr:spPr bwMode="auto">
        <a:xfrm>
          <a:off x="61369575" y="219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12</xdr:row>
      <xdr:rowOff>0</xdr:rowOff>
    </xdr:from>
    <xdr:to>
      <xdr:col>41</xdr:col>
      <xdr:colOff>304800</xdr:colOff>
      <xdr:row>13</xdr:row>
      <xdr:rowOff>114300</xdr:rowOff>
    </xdr:to>
    <xdr:sp macro="" textlink="">
      <xdr:nvSpPr>
        <xdr:cNvPr id="257" name="AutoShape 10" descr="Ireland"/>
        <xdr:cNvSpPr>
          <a:spLocks noChangeAspect="1" noChangeArrowheads="1"/>
        </xdr:cNvSpPr>
      </xdr:nvSpPr>
      <xdr:spPr bwMode="auto">
        <a:xfrm>
          <a:off x="61369575" y="239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13</xdr:row>
      <xdr:rowOff>0</xdr:rowOff>
    </xdr:from>
    <xdr:to>
      <xdr:col>41</xdr:col>
      <xdr:colOff>304800</xdr:colOff>
      <xdr:row>14</xdr:row>
      <xdr:rowOff>114300</xdr:rowOff>
    </xdr:to>
    <xdr:sp macro="" textlink="">
      <xdr:nvSpPr>
        <xdr:cNvPr id="258" name="AutoShape 11" descr="Italy"/>
        <xdr:cNvSpPr>
          <a:spLocks noChangeAspect="1" noChangeArrowheads="1"/>
        </xdr:cNvSpPr>
      </xdr:nvSpPr>
      <xdr:spPr bwMode="auto">
        <a:xfrm>
          <a:off x="61369575" y="259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14</xdr:row>
      <xdr:rowOff>0</xdr:rowOff>
    </xdr:from>
    <xdr:to>
      <xdr:col>41</xdr:col>
      <xdr:colOff>304800</xdr:colOff>
      <xdr:row>15</xdr:row>
      <xdr:rowOff>114300</xdr:rowOff>
    </xdr:to>
    <xdr:sp macro="" textlink="">
      <xdr:nvSpPr>
        <xdr:cNvPr id="259" name="AutoShape 12" descr="Japan"/>
        <xdr:cNvSpPr>
          <a:spLocks noChangeAspect="1" noChangeArrowheads="1"/>
        </xdr:cNvSpPr>
      </xdr:nvSpPr>
      <xdr:spPr bwMode="auto">
        <a:xfrm>
          <a:off x="61369575" y="5648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15</xdr:row>
      <xdr:rowOff>0</xdr:rowOff>
    </xdr:from>
    <xdr:to>
      <xdr:col>41</xdr:col>
      <xdr:colOff>304800</xdr:colOff>
      <xdr:row>16</xdr:row>
      <xdr:rowOff>114300</xdr:rowOff>
    </xdr:to>
    <xdr:sp macro="" textlink="">
      <xdr:nvSpPr>
        <xdr:cNvPr id="260" name="AutoShape 13" descr="Jersey"/>
        <xdr:cNvSpPr>
          <a:spLocks noChangeAspect="1" noChangeArrowheads="1"/>
        </xdr:cNvSpPr>
      </xdr:nvSpPr>
      <xdr:spPr bwMode="auto">
        <a:xfrm>
          <a:off x="61369575" y="5848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16</xdr:row>
      <xdr:rowOff>0</xdr:rowOff>
    </xdr:from>
    <xdr:to>
      <xdr:col>41</xdr:col>
      <xdr:colOff>304800</xdr:colOff>
      <xdr:row>17</xdr:row>
      <xdr:rowOff>114300</xdr:rowOff>
    </xdr:to>
    <xdr:sp macro="" textlink="">
      <xdr:nvSpPr>
        <xdr:cNvPr id="261" name="AutoShape 14" descr="Kuwait"/>
        <xdr:cNvSpPr>
          <a:spLocks noChangeAspect="1" noChangeArrowheads="1"/>
        </xdr:cNvSpPr>
      </xdr:nvSpPr>
      <xdr:spPr bwMode="auto">
        <a:xfrm>
          <a:off x="61369575" y="6048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17</xdr:row>
      <xdr:rowOff>0</xdr:rowOff>
    </xdr:from>
    <xdr:to>
      <xdr:col>41</xdr:col>
      <xdr:colOff>304800</xdr:colOff>
      <xdr:row>18</xdr:row>
      <xdr:rowOff>114300</xdr:rowOff>
    </xdr:to>
    <xdr:sp macro="" textlink="">
      <xdr:nvSpPr>
        <xdr:cNvPr id="262" name="AutoShape 15" descr="Liechtenstein"/>
        <xdr:cNvSpPr>
          <a:spLocks noChangeAspect="1" noChangeArrowheads="1"/>
        </xdr:cNvSpPr>
      </xdr:nvSpPr>
      <xdr:spPr bwMode="auto">
        <a:xfrm>
          <a:off x="61369575" y="624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19</xdr:row>
      <xdr:rowOff>0</xdr:rowOff>
    </xdr:from>
    <xdr:to>
      <xdr:col>41</xdr:col>
      <xdr:colOff>304800</xdr:colOff>
      <xdr:row>20</xdr:row>
      <xdr:rowOff>114300</xdr:rowOff>
    </xdr:to>
    <xdr:sp macro="" textlink="">
      <xdr:nvSpPr>
        <xdr:cNvPr id="264" name="AutoShape 17" descr="Malaysia"/>
        <xdr:cNvSpPr>
          <a:spLocks noChangeAspect="1" noChangeArrowheads="1"/>
        </xdr:cNvSpPr>
      </xdr:nvSpPr>
      <xdr:spPr bwMode="auto">
        <a:xfrm>
          <a:off x="61369575" y="6648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20</xdr:row>
      <xdr:rowOff>0</xdr:rowOff>
    </xdr:from>
    <xdr:to>
      <xdr:col>41</xdr:col>
      <xdr:colOff>304800</xdr:colOff>
      <xdr:row>21</xdr:row>
      <xdr:rowOff>114300</xdr:rowOff>
    </xdr:to>
    <xdr:sp macro="" textlink="">
      <xdr:nvSpPr>
        <xdr:cNvPr id="265" name="AutoShape 18" descr="Malta"/>
        <xdr:cNvSpPr>
          <a:spLocks noChangeAspect="1" noChangeArrowheads="1"/>
        </xdr:cNvSpPr>
      </xdr:nvSpPr>
      <xdr:spPr bwMode="auto">
        <a:xfrm>
          <a:off x="61369575" y="6848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21</xdr:row>
      <xdr:rowOff>0</xdr:rowOff>
    </xdr:from>
    <xdr:to>
      <xdr:col>41</xdr:col>
      <xdr:colOff>304800</xdr:colOff>
      <xdr:row>22</xdr:row>
      <xdr:rowOff>114300</xdr:rowOff>
    </xdr:to>
    <xdr:sp macro="" textlink="">
      <xdr:nvSpPr>
        <xdr:cNvPr id="266" name="AutoShape 19" descr="Mexico"/>
        <xdr:cNvSpPr>
          <a:spLocks noChangeAspect="1" noChangeArrowheads="1"/>
        </xdr:cNvSpPr>
      </xdr:nvSpPr>
      <xdr:spPr bwMode="auto">
        <a:xfrm>
          <a:off x="61369575" y="70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22</xdr:row>
      <xdr:rowOff>0</xdr:rowOff>
    </xdr:from>
    <xdr:to>
      <xdr:col>41</xdr:col>
      <xdr:colOff>304800</xdr:colOff>
      <xdr:row>23</xdr:row>
      <xdr:rowOff>114300</xdr:rowOff>
    </xdr:to>
    <xdr:sp macro="" textlink="">
      <xdr:nvSpPr>
        <xdr:cNvPr id="267" name="AutoShape 20" descr="Netherlands"/>
        <xdr:cNvSpPr>
          <a:spLocks noChangeAspect="1" noChangeArrowheads="1"/>
        </xdr:cNvSpPr>
      </xdr:nvSpPr>
      <xdr:spPr bwMode="auto">
        <a:xfrm>
          <a:off x="61369575" y="724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23</xdr:row>
      <xdr:rowOff>0</xdr:rowOff>
    </xdr:from>
    <xdr:to>
      <xdr:col>41</xdr:col>
      <xdr:colOff>304800</xdr:colOff>
      <xdr:row>24</xdr:row>
      <xdr:rowOff>114300</xdr:rowOff>
    </xdr:to>
    <xdr:sp macro="" textlink="">
      <xdr:nvSpPr>
        <xdr:cNvPr id="268" name="AutoShape 21" descr="New Zealand"/>
        <xdr:cNvSpPr>
          <a:spLocks noChangeAspect="1" noChangeArrowheads="1"/>
        </xdr:cNvSpPr>
      </xdr:nvSpPr>
      <xdr:spPr bwMode="auto">
        <a:xfrm>
          <a:off x="61369575" y="7448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24</xdr:row>
      <xdr:rowOff>0</xdr:rowOff>
    </xdr:from>
    <xdr:to>
      <xdr:col>41</xdr:col>
      <xdr:colOff>304800</xdr:colOff>
      <xdr:row>25</xdr:row>
      <xdr:rowOff>114300</xdr:rowOff>
    </xdr:to>
    <xdr:sp macro="" textlink="">
      <xdr:nvSpPr>
        <xdr:cNvPr id="297" name="AutoShape 22" descr="Portugal"/>
        <xdr:cNvSpPr>
          <a:spLocks noChangeAspect="1" noChangeArrowheads="1"/>
        </xdr:cNvSpPr>
      </xdr:nvSpPr>
      <xdr:spPr bwMode="auto">
        <a:xfrm>
          <a:off x="61369575" y="764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28</xdr:row>
      <xdr:rowOff>0</xdr:rowOff>
    </xdr:from>
    <xdr:to>
      <xdr:col>41</xdr:col>
      <xdr:colOff>304800</xdr:colOff>
      <xdr:row>29</xdr:row>
      <xdr:rowOff>114300</xdr:rowOff>
    </xdr:to>
    <xdr:sp macro="" textlink="">
      <xdr:nvSpPr>
        <xdr:cNvPr id="301" name="AutoShape 26" descr="South Africa"/>
        <xdr:cNvSpPr>
          <a:spLocks noChangeAspect="1" noChangeArrowheads="1"/>
        </xdr:cNvSpPr>
      </xdr:nvSpPr>
      <xdr:spPr bwMode="auto">
        <a:xfrm>
          <a:off x="61369575" y="13782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29</xdr:row>
      <xdr:rowOff>0</xdr:rowOff>
    </xdr:from>
    <xdr:to>
      <xdr:col>41</xdr:col>
      <xdr:colOff>304800</xdr:colOff>
      <xdr:row>30</xdr:row>
      <xdr:rowOff>114300</xdr:rowOff>
    </xdr:to>
    <xdr:sp macro="" textlink="">
      <xdr:nvSpPr>
        <xdr:cNvPr id="302" name="AutoShape 27" descr="South Korea"/>
        <xdr:cNvSpPr>
          <a:spLocks noChangeAspect="1" noChangeArrowheads="1"/>
        </xdr:cNvSpPr>
      </xdr:nvSpPr>
      <xdr:spPr bwMode="auto">
        <a:xfrm>
          <a:off x="61369575" y="174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30</xdr:row>
      <xdr:rowOff>0</xdr:rowOff>
    </xdr:from>
    <xdr:to>
      <xdr:col>41</xdr:col>
      <xdr:colOff>304800</xdr:colOff>
      <xdr:row>31</xdr:row>
      <xdr:rowOff>114300</xdr:rowOff>
    </xdr:to>
    <xdr:sp macro="" textlink="">
      <xdr:nvSpPr>
        <xdr:cNvPr id="303" name="AutoShape 28" descr="Spain"/>
        <xdr:cNvSpPr>
          <a:spLocks noChangeAspect="1" noChangeArrowheads="1"/>
        </xdr:cNvSpPr>
      </xdr:nvSpPr>
      <xdr:spPr bwMode="auto">
        <a:xfrm>
          <a:off x="613695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31</xdr:row>
      <xdr:rowOff>0</xdr:rowOff>
    </xdr:from>
    <xdr:to>
      <xdr:col>41</xdr:col>
      <xdr:colOff>304800</xdr:colOff>
      <xdr:row>32</xdr:row>
      <xdr:rowOff>114300</xdr:rowOff>
    </xdr:to>
    <xdr:sp macro="" textlink="">
      <xdr:nvSpPr>
        <xdr:cNvPr id="304" name="AutoShape 29" descr="Switzerland"/>
        <xdr:cNvSpPr>
          <a:spLocks noChangeAspect="1" noChangeArrowheads="1"/>
        </xdr:cNvSpPr>
      </xdr:nvSpPr>
      <xdr:spPr bwMode="auto">
        <a:xfrm>
          <a:off x="6136957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32</xdr:row>
      <xdr:rowOff>0</xdr:rowOff>
    </xdr:from>
    <xdr:to>
      <xdr:col>41</xdr:col>
      <xdr:colOff>304800</xdr:colOff>
      <xdr:row>33</xdr:row>
      <xdr:rowOff>114300</xdr:rowOff>
    </xdr:to>
    <xdr:sp macro="" textlink="">
      <xdr:nvSpPr>
        <xdr:cNvPr id="305" name="AutoShape 30" descr="Thailand"/>
        <xdr:cNvSpPr>
          <a:spLocks noChangeAspect="1" noChangeArrowheads="1"/>
        </xdr:cNvSpPr>
      </xdr:nvSpPr>
      <xdr:spPr bwMode="auto">
        <a:xfrm>
          <a:off x="61369575" y="21059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33</xdr:row>
      <xdr:rowOff>0</xdr:rowOff>
    </xdr:from>
    <xdr:to>
      <xdr:col>41</xdr:col>
      <xdr:colOff>304800</xdr:colOff>
      <xdr:row>34</xdr:row>
      <xdr:rowOff>114300</xdr:rowOff>
    </xdr:to>
    <xdr:sp macro="" textlink="">
      <xdr:nvSpPr>
        <xdr:cNvPr id="306" name="AutoShape 31" descr="United Arab Emirates"/>
        <xdr:cNvSpPr>
          <a:spLocks noChangeAspect="1" noChangeArrowheads="1"/>
        </xdr:cNvSpPr>
      </xdr:nvSpPr>
      <xdr:spPr bwMode="auto">
        <a:xfrm>
          <a:off x="61369575" y="2125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34</xdr:row>
      <xdr:rowOff>0</xdr:rowOff>
    </xdr:from>
    <xdr:to>
      <xdr:col>41</xdr:col>
      <xdr:colOff>304800</xdr:colOff>
      <xdr:row>35</xdr:row>
      <xdr:rowOff>114300</xdr:rowOff>
    </xdr:to>
    <xdr:sp macro="" textlink="">
      <xdr:nvSpPr>
        <xdr:cNvPr id="307" name="AutoShape 32" descr="United Kingdom"/>
        <xdr:cNvSpPr>
          <a:spLocks noChangeAspect="1" noChangeArrowheads="1"/>
        </xdr:cNvSpPr>
      </xdr:nvSpPr>
      <xdr:spPr bwMode="auto">
        <a:xfrm>
          <a:off x="61369575" y="21574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41</xdr:col>
      <xdr:colOff>0</xdr:colOff>
      <xdr:row>35</xdr:row>
      <xdr:rowOff>0</xdr:rowOff>
    </xdr:from>
    <xdr:to>
      <xdr:col>41</xdr:col>
      <xdr:colOff>304800</xdr:colOff>
      <xdr:row>36</xdr:row>
      <xdr:rowOff>114300</xdr:rowOff>
    </xdr:to>
    <xdr:sp macro="" textlink="">
      <xdr:nvSpPr>
        <xdr:cNvPr id="308" name="AutoShape 33" descr="Vietnam"/>
        <xdr:cNvSpPr>
          <a:spLocks noChangeAspect="1" noChangeArrowheads="1"/>
        </xdr:cNvSpPr>
      </xdr:nvSpPr>
      <xdr:spPr bwMode="auto">
        <a:xfrm>
          <a:off x="61369575" y="21774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41</xdr:col>
      <xdr:colOff>0</xdr:colOff>
      <xdr:row>3</xdr:row>
      <xdr:rowOff>0</xdr:rowOff>
    </xdr:from>
    <xdr:ext cx="304800" cy="304800"/>
    <xdr:sp macro="" textlink="">
      <xdr:nvSpPr>
        <xdr:cNvPr id="160" name="AutoShape 1" descr="Belgium"/>
        <xdr:cNvSpPr>
          <a:spLocks noChangeAspect="1" noChangeArrowheads="1"/>
        </xdr:cNvSpPr>
      </xdr:nvSpPr>
      <xdr:spPr bwMode="auto">
        <a:xfrm>
          <a:off x="61912500" y="5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xdr:row>
      <xdr:rowOff>0</xdr:rowOff>
    </xdr:from>
    <xdr:ext cx="304800" cy="304800"/>
    <xdr:sp macro="" textlink="">
      <xdr:nvSpPr>
        <xdr:cNvPr id="161" name="AutoShape 1" descr="Belgium"/>
        <xdr:cNvSpPr>
          <a:spLocks noChangeAspect="1" noChangeArrowheads="1"/>
        </xdr:cNvSpPr>
      </xdr:nvSpPr>
      <xdr:spPr bwMode="auto">
        <a:xfrm>
          <a:off x="61912500" y="5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4</xdr:row>
      <xdr:rowOff>0</xdr:rowOff>
    </xdr:from>
    <xdr:ext cx="304800" cy="304800"/>
    <xdr:sp macro="" textlink="">
      <xdr:nvSpPr>
        <xdr:cNvPr id="162" name="AutoShape 2" descr="Brunei"/>
        <xdr:cNvSpPr>
          <a:spLocks noChangeAspect="1" noChangeArrowheads="1"/>
        </xdr:cNvSpPr>
      </xdr:nvSpPr>
      <xdr:spPr bwMode="auto">
        <a:xfrm>
          <a:off x="619125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xdr:row>
      <xdr:rowOff>0</xdr:rowOff>
    </xdr:from>
    <xdr:ext cx="304800" cy="304800"/>
    <xdr:sp macro="" textlink="">
      <xdr:nvSpPr>
        <xdr:cNvPr id="163" name="AutoShape 1" descr="Belgium"/>
        <xdr:cNvSpPr>
          <a:spLocks noChangeAspect="1" noChangeArrowheads="1"/>
        </xdr:cNvSpPr>
      </xdr:nvSpPr>
      <xdr:spPr bwMode="auto">
        <a:xfrm>
          <a:off x="61912500" y="5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4</xdr:row>
      <xdr:rowOff>0</xdr:rowOff>
    </xdr:from>
    <xdr:ext cx="304800" cy="304800"/>
    <xdr:sp macro="" textlink="">
      <xdr:nvSpPr>
        <xdr:cNvPr id="164" name="AutoShape 2" descr="Brunei"/>
        <xdr:cNvSpPr>
          <a:spLocks noChangeAspect="1" noChangeArrowheads="1"/>
        </xdr:cNvSpPr>
      </xdr:nvSpPr>
      <xdr:spPr bwMode="auto">
        <a:xfrm>
          <a:off x="619125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5</xdr:row>
      <xdr:rowOff>0</xdr:rowOff>
    </xdr:from>
    <xdr:ext cx="304800" cy="304800"/>
    <xdr:sp macro="" textlink="">
      <xdr:nvSpPr>
        <xdr:cNvPr id="165" name="AutoShape 3" descr="Canada"/>
        <xdr:cNvSpPr>
          <a:spLocks noChangeAspect="1" noChangeArrowheads="1"/>
        </xdr:cNvSpPr>
      </xdr:nvSpPr>
      <xdr:spPr bwMode="auto">
        <a:xfrm>
          <a:off x="619125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4</xdr:row>
      <xdr:rowOff>0</xdr:rowOff>
    </xdr:from>
    <xdr:ext cx="304800" cy="304800"/>
    <xdr:sp macro="" textlink="">
      <xdr:nvSpPr>
        <xdr:cNvPr id="166" name="AutoShape 2" descr="Brunei"/>
        <xdr:cNvSpPr>
          <a:spLocks noChangeAspect="1" noChangeArrowheads="1"/>
        </xdr:cNvSpPr>
      </xdr:nvSpPr>
      <xdr:spPr bwMode="auto">
        <a:xfrm>
          <a:off x="619125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5</xdr:row>
      <xdr:rowOff>0</xdr:rowOff>
    </xdr:from>
    <xdr:ext cx="304800" cy="304800"/>
    <xdr:sp macro="" textlink="">
      <xdr:nvSpPr>
        <xdr:cNvPr id="167" name="AutoShape 3" descr="Canada"/>
        <xdr:cNvSpPr>
          <a:spLocks noChangeAspect="1" noChangeArrowheads="1"/>
        </xdr:cNvSpPr>
      </xdr:nvSpPr>
      <xdr:spPr bwMode="auto">
        <a:xfrm>
          <a:off x="619125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6</xdr:row>
      <xdr:rowOff>0</xdr:rowOff>
    </xdr:from>
    <xdr:ext cx="304800" cy="304800"/>
    <xdr:sp macro="" textlink="">
      <xdr:nvSpPr>
        <xdr:cNvPr id="168" name="AutoShape 4" descr="China"/>
        <xdr:cNvSpPr>
          <a:spLocks noChangeAspect="1" noChangeArrowheads="1"/>
        </xdr:cNvSpPr>
      </xdr:nvSpPr>
      <xdr:spPr bwMode="auto">
        <a:xfrm>
          <a:off x="61912500"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5</xdr:row>
      <xdr:rowOff>0</xdr:rowOff>
    </xdr:from>
    <xdr:ext cx="304800" cy="304800"/>
    <xdr:sp macro="" textlink="">
      <xdr:nvSpPr>
        <xdr:cNvPr id="169" name="AutoShape 3" descr="Canada"/>
        <xdr:cNvSpPr>
          <a:spLocks noChangeAspect="1" noChangeArrowheads="1"/>
        </xdr:cNvSpPr>
      </xdr:nvSpPr>
      <xdr:spPr bwMode="auto">
        <a:xfrm>
          <a:off x="619125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6</xdr:row>
      <xdr:rowOff>0</xdr:rowOff>
    </xdr:from>
    <xdr:ext cx="304800" cy="304800"/>
    <xdr:sp macro="" textlink="">
      <xdr:nvSpPr>
        <xdr:cNvPr id="170" name="AutoShape 4" descr="China"/>
        <xdr:cNvSpPr>
          <a:spLocks noChangeAspect="1" noChangeArrowheads="1"/>
        </xdr:cNvSpPr>
      </xdr:nvSpPr>
      <xdr:spPr bwMode="auto">
        <a:xfrm>
          <a:off x="61912500"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7</xdr:row>
      <xdr:rowOff>0</xdr:rowOff>
    </xdr:from>
    <xdr:ext cx="304800" cy="304800"/>
    <xdr:sp macro="" textlink="">
      <xdr:nvSpPr>
        <xdr:cNvPr id="171" name="AutoShape 5" descr="Czech Republic"/>
        <xdr:cNvSpPr>
          <a:spLocks noChangeAspect="1" noChangeArrowheads="1"/>
        </xdr:cNvSpPr>
      </xdr:nvSpPr>
      <xdr:spPr bwMode="auto">
        <a:xfrm>
          <a:off x="619125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6</xdr:row>
      <xdr:rowOff>0</xdr:rowOff>
    </xdr:from>
    <xdr:ext cx="304800" cy="304800"/>
    <xdr:sp macro="" textlink="">
      <xdr:nvSpPr>
        <xdr:cNvPr id="172" name="AutoShape 4" descr="China"/>
        <xdr:cNvSpPr>
          <a:spLocks noChangeAspect="1" noChangeArrowheads="1"/>
        </xdr:cNvSpPr>
      </xdr:nvSpPr>
      <xdr:spPr bwMode="auto">
        <a:xfrm>
          <a:off x="61912500"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7</xdr:row>
      <xdr:rowOff>0</xdr:rowOff>
    </xdr:from>
    <xdr:ext cx="304800" cy="304800"/>
    <xdr:sp macro="" textlink="">
      <xdr:nvSpPr>
        <xdr:cNvPr id="173" name="AutoShape 5" descr="Czech Republic"/>
        <xdr:cNvSpPr>
          <a:spLocks noChangeAspect="1" noChangeArrowheads="1"/>
        </xdr:cNvSpPr>
      </xdr:nvSpPr>
      <xdr:spPr bwMode="auto">
        <a:xfrm>
          <a:off x="619125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8</xdr:row>
      <xdr:rowOff>0</xdr:rowOff>
    </xdr:from>
    <xdr:ext cx="304800" cy="304800"/>
    <xdr:sp macro="" textlink="">
      <xdr:nvSpPr>
        <xdr:cNvPr id="174" name="AutoShape 6" descr="France"/>
        <xdr:cNvSpPr>
          <a:spLocks noChangeAspect="1" noChangeArrowheads="1"/>
        </xdr:cNvSpPr>
      </xdr:nvSpPr>
      <xdr:spPr bwMode="auto">
        <a:xfrm>
          <a:off x="61912500"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7</xdr:row>
      <xdr:rowOff>0</xdr:rowOff>
    </xdr:from>
    <xdr:ext cx="304800" cy="304800"/>
    <xdr:sp macro="" textlink="">
      <xdr:nvSpPr>
        <xdr:cNvPr id="175" name="AutoShape 5" descr="Czech Republic"/>
        <xdr:cNvSpPr>
          <a:spLocks noChangeAspect="1" noChangeArrowheads="1"/>
        </xdr:cNvSpPr>
      </xdr:nvSpPr>
      <xdr:spPr bwMode="auto">
        <a:xfrm>
          <a:off x="619125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8</xdr:row>
      <xdr:rowOff>0</xdr:rowOff>
    </xdr:from>
    <xdr:ext cx="304800" cy="304800"/>
    <xdr:sp macro="" textlink="">
      <xdr:nvSpPr>
        <xdr:cNvPr id="176" name="AutoShape 6" descr="France"/>
        <xdr:cNvSpPr>
          <a:spLocks noChangeAspect="1" noChangeArrowheads="1"/>
        </xdr:cNvSpPr>
      </xdr:nvSpPr>
      <xdr:spPr bwMode="auto">
        <a:xfrm>
          <a:off x="61912500"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9</xdr:row>
      <xdr:rowOff>0</xdr:rowOff>
    </xdr:from>
    <xdr:ext cx="304800" cy="304800"/>
    <xdr:sp macro="" textlink="">
      <xdr:nvSpPr>
        <xdr:cNvPr id="177" name="AutoShape 7" descr="Guernsey"/>
        <xdr:cNvSpPr>
          <a:spLocks noChangeAspect="1" noChangeArrowheads="1"/>
        </xdr:cNvSpPr>
      </xdr:nvSpPr>
      <xdr:spPr bwMode="auto">
        <a:xfrm>
          <a:off x="61912500"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8</xdr:row>
      <xdr:rowOff>0</xdr:rowOff>
    </xdr:from>
    <xdr:ext cx="304800" cy="304800"/>
    <xdr:sp macro="" textlink="">
      <xdr:nvSpPr>
        <xdr:cNvPr id="178" name="AutoShape 6" descr="France"/>
        <xdr:cNvSpPr>
          <a:spLocks noChangeAspect="1" noChangeArrowheads="1"/>
        </xdr:cNvSpPr>
      </xdr:nvSpPr>
      <xdr:spPr bwMode="auto">
        <a:xfrm>
          <a:off x="61912500"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9</xdr:row>
      <xdr:rowOff>0</xdr:rowOff>
    </xdr:from>
    <xdr:ext cx="304800" cy="304800"/>
    <xdr:sp macro="" textlink="">
      <xdr:nvSpPr>
        <xdr:cNvPr id="179" name="AutoShape 7" descr="Guernsey"/>
        <xdr:cNvSpPr>
          <a:spLocks noChangeAspect="1" noChangeArrowheads="1"/>
        </xdr:cNvSpPr>
      </xdr:nvSpPr>
      <xdr:spPr bwMode="auto">
        <a:xfrm>
          <a:off x="61912500"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10</xdr:row>
      <xdr:rowOff>0</xdr:rowOff>
    </xdr:from>
    <xdr:ext cx="304800" cy="304800"/>
    <xdr:sp macro="" textlink="">
      <xdr:nvSpPr>
        <xdr:cNvPr id="180" name="AutoShape 8" descr="Hungary"/>
        <xdr:cNvSpPr>
          <a:spLocks noChangeAspect="1" noChangeArrowheads="1"/>
        </xdr:cNvSpPr>
      </xdr:nvSpPr>
      <xdr:spPr bwMode="auto">
        <a:xfrm>
          <a:off x="619125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9</xdr:row>
      <xdr:rowOff>0</xdr:rowOff>
    </xdr:from>
    <xdr:ext cx="304800" cy="304800"/>
    <xdr:sp macro="" textlink="">
      <xdr:nvSpPr>
        <xdr:cNvPr id="181" name="AutoShape 7" descr="Guernsey"/>
        <xdr:cNvSpPr>
          <a:spLocks noChangeAspect="1" noChangeArrowheads="1"/>
        </xdr:cNvSpPr>
      </xdr:nvSpPr>
      <xdr:spPr bwMode="auto">
        <a:xfrm>
          <a:off x="61912500"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10</xdr:row>
      <xdr:rowOff>0</xdr:rowOff>
    </xdr:from>
    <xdr:ext cx="304800" cy="304800"/>
    <xdr:sp macro="" textlink="">
      <xdr:nvSpPr>
        <xdr:cNvPr id="182" name="AutoShape 8" descr="Hungary"/>
        <xdr:cNvSpPr>
          <a:spLocks noChangeAspect="1" noChangeArrowheads="1"/>
        </xdr:cNvSpPr>
      </xdr:nvSpPr>
      <xdr:spPr bwMode="auto">
        <a:xfrm>
          <a:off x="619125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11</xdr:row>
      <xdr:rowOff>0</xdr:rowOff>
    </xdr:from>
    <xdr:ext cx="304800" cy="304800"/>
    <xdr:sp macro="" textlink="">
      <xdr:nvSpPr>
        <xdr:cNvPr id="183" name="AutoShape 9" descr="Indonesia"/>
        <xdr:cNvSpPr>
          <a:spLocks noChangeAspect="1" noChangeArrowheads="1"/>
        </xdr:cNvSpPr>
      </xdr:nvSpPr>
      <xdr:spPr bwMode="auto">
        <a:xfrm>
          <a:off x="619125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10</xdr:row>
      <xdr:rowOff>0</xdr:rowOff>
    </xdr:from>
    <xdr:ext cx="304800" cy="304800"/>
    <xdr:sp macro="" textlink="">
      <xdr:nvSpPr>
        <xdr:cNvPr id="184" name="AutoShape 8" descr="Hungary"/>
        <xdr:cNvSpPr>
          <a:spLocks noChangeAspect="1" noChangeArrowheads="1"/>
        </xdr:cNvSpPr>
      </xdr:nvSpPr>
      <xdr:spPr bwMode="auto">
        <a:xfrm>
          <a:off x="619125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11</xdr:row>
      <xdr:rowOff>0</xdr:rowOff>
    </xdr:from>
    <xdr:ext cx="304800" cy="304800"/>
    <xdr:sp macro="" textlink="">
      <xdr:nvSpPr>
        <xdr:cNvPr id="185" name="AutoShape 9" descr="Indonesia"/>
        <xdr:cNvSpPr>
          <a:spLocks noChangeAspect="1" noChangeArrowheads="1"/>
        </xdr:cNvSpPr>
      </xdr:nvSpPr>
      <xdr:spPr bwMode="auto">
        <a:xfrm>
          <a:off x="619125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12</xdr:row>
      <xdr:rowOff>0</xdr:rowOff>
    </xdr:from>
    <xdr:ext cx="304800" cy="304800"/>
    <xdr:sp macro="" textlink="">
      <xdr:nvSpPr>
        <xdr:cNvPr id="186" name="AutoShape 10" descr="Ireland"/>
        <xdr:cNvSpPr>
          <a:spLocks noChangeAspect="1" noChangeArrowheads="1"/>
        </xdr:cNvSpPr>
      </xdr:nvSpPr>
      <xdr:spPr bwMode="auto">
        <a:xfrm>
          <a:off x="61912500"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11</xdr:row>
      <xdr:rowOff>0</xdr:rowOff>
    </xdr:from>
    <xdr:ext cx="304800" cy="304800"/>
    <xdr:sp macro="" textlink="">
      <xdr:nvSpPr>
        <xdr:cNvPr id="187" name="AutoShape 9" descr="Indonesia"/>
        <xdr:cNvSpPr>
          <a:spLocks noChangeAspect="1" noChangeArrowheads="1"/>
        </xdr:cNvSpPr>
      </xdr:nvSpPr>
      <xdr:spPr bwMode="auto">
        <a:xfrm>
          <a:off x="619125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12</xdr:row>
      <xdr:rowOff>0</xdr:rowOff>
    </xdr:from>
    <xdr:ext cx="304800" cy="304800"/>
    <xdr:sp macro="" textlink="">
      <xdr:nvSpPr>
        <xdr:cNvPr id="188" name="AutoShape 10" descr="Ireland"/>
        <xdr:cNvSpPr>
          <a:spLocks noChangeAspect="1" noChangeArrowheads="1"/>
        </xdr:cNvSpPr>
      </xdr:nvSpPr>
      <xdr:spPr bwMode="auto">
        <a:xfrm>
          <a:off x="61912500"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13</xdr:row>
      <xdr:rowOff>0</xdr:rowOff>
    </xdr:from>
    <xdr:ext cx="304800" cy="304800"/>
    <xdr:sp macro="" textlink="">
      <xdr:nvSpPr>
        <xdr:cNvPr id="189" name="AutoShape 11" descr="Italy"/>
        <xdr:cNvSpPr>
          <a:spLocks noChangeAspect="1" noChangeArrowheads="1"/>
        </xdr:cNvSpPr>
      </xdr:nvSpPr>
      <xdr:spPr bwMode="auto">
        <a:xfrm>
          <a:off x="619125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12</xdr:row>
      <xdr:rowOff>0</xdr:rowOff>
    </xdr:from>
    <xdr:ext cx="304800" cy="304800"/>
    <xdr:sp macro="" textlink="">
      <xdr:nvSpPr>
        <xdr:cNvPr id="190" name="AutoShape 10" descr="Ireland"/>
        <xdr:cNvSpPr>
          <a:spLocks noChangeAspect="1" noChangeArrowheads="1"/>
        </xdr:cNvSpPr>
      </xdr:nvSpPr>
      <xdr:spPr bwMode="auto">
        <a:xfrm>
          <a:off x="61912500"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13</xdr:row>
      <xdr:rowOff>0</xdr:rowOff>
    </xdr:from>
    <xdr:ext cx="304800" cy="304800"/>
    <xdr:sp macro="" textlink="">
      <xdr:nvSpPr>
        <xdr:cNvPr id="191" name="AutoShape 11" descr="Italy"/>
        <xdr:cNvSpPr>
          <a:spLocks noChangeAspect="1" noChangeArrowheads="1"/>
        </xdr:cNvSpPr>
      </xdr:nvSpPr>
      <xdr:spPr bwMode="auto">
        <a:xfrm>
          <a:off x="619125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14</xdr:row>
      <xdr:rowOff>0</xdr:rowOff>
    </xdr:from>
    <xdr:ext cx="304800" cy="304800"/>
    <xdr:sp macro="" textlink="">
      <xdr:nvSpPr>
        <xdr:cNvPr id="192" name="AutoShape 12" descr="Japan"/>
        <xdr:cNvSpPr>
          <a:spLocks noChangeAspect="1" noChangeArrowheads="1"/>
        </xdr:cNvSpPr>
      </xdr:nvSpPr>
      <xdr:spPr bwMode="auto">
        <a:xfrm>
          <a:off x="61912500"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13</xdr:row>
      <xdr:rowOff>0</xdr:rowOff>
    </xdr:from>
    <xdr:ext cx="304800" cy="304800"/>
    <xdr:sp macro="" textlink="">
      <xdr:nvSpPr>
        <xdr:cNvPr id="193" name="AutoShape 11" descr="Italy"/>
        <xdr:cNvSpPr>
          <a:spLocks noChangeAspect="1" noChangeArrowheads="1"/>
        </xdr:cNvSpPr>
      </xdr:nvSpPr>
      <xdr:spPr bwMode="auto">
        <a:xfrm>
          <a:off x="619125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14</xdr:row>
      <xdr:rowOff>0</xdr:rowOff>
    </xdr:from>
    <xdr:ext cx="304800" cy="304800"/>
    <xdr:sp macro="" textlink="">
      <xdr:nvSpPr>
        <xdr:cNvPr id="194" name="AutoShape 12" descr="Japan"/>
        <xdr:cNvSpPr>
          <a:spLocks noChangeAspect="1" noChangeArrowheads="1"/>
        </xdr:cNvSpPr>
      </xdr:nvSpPr>
      <xdr:spPr bwMode="auto">
        <a:xfrm>
          <a:off x="61912500"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15</xdr:row>
      <xdr:rowOff>0</xdr:rowOff>
    </xdr:from>
    <xdr:ext cx="304800" cy="304800"/>
    <xdr:sp macro="" textlink="">
      <xdr:nvSpPr>
        <xdr:cNvPr id="195" name="AutoShape 13" descr="Jersey"/>
        <xdr:cNvSpPr>
          <a:spLocks noChangeAspect="1" noChangeArrowheads="1"/>
        </xdr:cNvSpPr>
      </xdr:nvSpPr>
      <xdr:spPr bwMode="auto">
        <a:xfrm>
          <a:off x="61912500"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14</xdr:row>
      <xdr:rowOff>0</xdr:rowOff>
    </xdr:from>
    <xdr:ext cx="304800" cy="304800"/>
    <xdr:sp macro="" textlink="">
      <xdr:nvSpPr>
        <xdr:cNvPr id="196" name="AutoShape 12" descr="Japan"/>
        <xdr:cNvSpPr>
          <a:spLocks noChangeAspect="1" noChangeArrowheads="1"/>
        </xdr:cNvSpPr>
      </xdr:nvSpPr>
      <xdr:spPr bwMode="auto">
        <a:xfrm>
          <a:off x="61912500"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15</xdr:row>
      <xdr:rowOff>0</xdr:rowOff>
    </xdr:from>
    <xdr:ext cx="304800" cy="304800"/>
    <xdr:sp macro="" textlink="">
      <xdr:nvSpPr>
        <xdr:cNvPr id="197" name="AutoShape 13" descr="Jersey"/>
        <xdr:cNvSpPr>
          <a:spLocks noChangeAspect="1" noChangeArrowheads="1"/>
        </xdr:cNvSpPr>
      </xdr:nvSpPr>
      <xdr:spPr bwMode="auto">
        <a:xfrm>
          <a:off x="61912500"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16</xdr:row>
      <xdr:rowOff>0</xdr:rowOff>
    </xdr:from>
    <xdr:ext cx="304800" cy="304800"/>
    <xdr:sp macro="" textlink="">
      <xdr:nvSpPr>
        <xdr:cNvPr id="198" name="AutoShape 14" descr="Kuwait"/>
        <xdr:cNvSpPr>
          <a:spLocks noChangeAspect="1" noChangeArrowheads="1"/>
        </xdr:cNvSpPr>
      </xdr:nvSpPr>
      <xdr:spPr bwMode="auto">
        <a:xfrm>
          <a:off x="619125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15</xdr:row>
      <xdr:rowOff>0</xdr:rowOff>
    </xdr:from>
    <xdr:ext cx="304800" cy="304800"/>
    <xdr:sp macro="" textlink="">
      <xdr:nvSpPr>
        <xdr:cNvPr id="199" name="AutoShape 13" descr="Jersey"/>
        <xdr:cNvSpPr>
          <a:spLocks noChangeAspect="1" noChangeArrowheads="1"/>
        </xdr:cNvSpPr>
      </xdr:nvSpPr>
      <xdr:spPr bwMode="auto">
        <a:xfrm>
          <a:off x="61912500"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16</xdr:row>
      <xdr:rowOff>0</xdr:rowOff>
    </xdr:from>
    <xdr:ext cx="304800" cy="304800"/>
    <xdr:sp macro="" textlink="">
      <xdr:nvSpPr>
        <xdr:cNvPr id="200" name="AutoShape 14" descr="Kuwait"/>
        <xdr:cNvSpPr>
          <a:spLocks noChangeAspect="1" noChangeArrowheads="1"/>
        </xdr:cNvSpPr>
      </xdr:nvSpPr>
      <xdr:spPr bwMode="auto">
        <a:xfrm>
          <a:off x="619125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17</xdr:row>
      <xdr:rowOff>0</xdr:rowOff>
    </xdr:from>
    <xdr:ext cx="304800" cy="304800"/>
    <xdr:sp macro="" textlink="">
      <xdr:nvSpPr>
        <xdr:cNvPr id="201" name="AutoShape 15" descr="Liechtenstein"/>
        <xdr:cNvSpPr>
          <a:spLocks noChangeAspect="1" noChangeArrowheads="1"/>
        </xdr:cNvSpPr>
      </xdr:nvSpPr>
      <xdr:spPr bwMode="auto">
        <a:xfrm>
          <a:off x="61912500"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16</xdr:row>
      <xdr:rowOff>0</xdr:rowOff>
    </xdr:from>
    <xdr:ext cx="304800" cy="304800"/>
    <xdr:sp macro="" textlink="">
      <xdr:nvSpPr>
        <xdr:cNvPr id="202" name="AutoShape 14" descr="Kuwait"/>
        <xdr:cNvSpPr>
          <a:spLocks noChangeAspect="1" noChangeArrowheads="1"/>
        </xdr:cNvSpPr>
      </xdr:nvSpPr>
      <xdr:spPr bwMode="auto">
        <a:xfrm>
          <a:off x="619125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17</xdr:row>
      <xdr:rowOff>0</xdr:rowOff>
    </xdr:from>
    <xdr:ext cx="304800" cy="304800"/>
    <xdr:sp macro="" textlink="">
      <xdr:nvSpPr>
        <xdr:cNvPr id="203" name="AutoShape 15" descr="Liechtenstein"/>
        <xdr:cNvSpPr>
          <a:spLocks noChangeAspect="1" noChangeArrowheads="1"/>
        </xdr:cNvSpPr>
      </xdr:nvSpPr>
      <xdr:spPr bwMode="auto">
        <a:xfrm>
          <a:off x="61912500"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17</xdr:row>
      <xdr:rowOff>0</xdr:rowOff>
    </xdr:from>
    <xdr:ext cx="304800" cy="304800"/>
    <xdr:sp macro="" textlink="">
      <xdr:nvSpPr>
        <xdr:cNvPr id="204" name="AutoShape 15" descr="Liechtenstein"/>
        <xdr:cNvSpPr>
          <a:spLocks noChangeAspect="1" noChangeArrowheads="1"/>
        </xdr:cNvSpPr>
      </xdr:nvSpPr>
      <xdr:spPr bwMode="auto">
        <a:xfrm>
          <a:off x="61912500"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19</xdr:row>
      <xdr:rowOff>0</xdr:rowOff>
    </xdr:from>
    <xdr:ext cx="304800" cy="304800"/>
    <xdr:sp macro="" textlink="">
      <xdr:nvSpPr>
        <xdr:cNvPr id="205" name="AutoShape 17" descr="Malaysia"/>
        <xdr:cNvSpPr>
          <a:spLocks noChangeAspect="1" noChangeArrowheads="1"/>
        </xdr:cNvSpPr>
      </xdr:nvSpPr>
      <xdr:spPr bwMode="auto">
        <a:xfrm>
          <a:off x="619125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19</xdr:row>
      <xdr:rowOff>0</xdr:rowOff>
    </xdr:from>
    <xdr:ext cx="304800" cy="304800"/>
    <xdr:sp macro="" textlink="">
      <xdr:nvSpPr>
        <xdr:cNvPr id="206" name="AutoShape 17" descr="Malaysia"/>
        <xdr:cNvSpPr>
          <a:spLocks noChangeAspect="1" noChangeArrowheads="1"/>
        </xdr:cNvSpPr>
      </xdr:nvSpPr>
      <xdr:spPr bwMode="auto">
        <a:xfrm>
          <a:off x="619125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20</xdr:row>
      <xdr:rowOff>0</xdr:rowOff>
    </xdr:from>
    <xdr:ext cx="304800" cy="304800"/>
    <xdr:sp macro="" textlink="">
      <xdr:nvSpPr>
        <xdr:cNvPr id="207" name="AutoShape 18" descr="Malta"/>
        <xdr:cNvSpPr>
          <a:spLocks noChangeAspect="1" noChangeArrowheads="1"/>
        </xdr:cNvSpPr>
      </xdr:nvSpPr>
      <xdr:spPr bwMode="auto">
        <a:xfrm>
          <a:off x="619125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19</xdr:row>
      <xdr:rowOff>0</xdr:rowOff>
    </xdr:from>
    <xdr:ext cx="304800" cy="304800"/>
    <xdr:sp macro="" textlink="">
      <xdr:nvSpPr>
        <xdr:cNvPr id="208" name="AutoShape 17" descr="Malaysia"/>
        <xdr:cNvSpPr>
          <a:spLocks noChangeAspect="1" noChangeArrowheads="1"/>
        </xdr:cNvSpPr>
      </xdr:nvSpPr>
      <xdr:spPr bwMode="auto">
        <a:xfrm>
          <a:off x="619125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20</xdr:row>
      <xdr:rowOff>0</xdr:rowOff>
    </xdr:from>
    <xdr:ext cx="304800" cy="304800"/>
    <xdr:sp macro="" textlink="">
      <xdr:nvSpPr>
        <xdr:cNvPr id="209" name="AutoShape 18" descr="Malta"/>
        <xdr:cNvSpPr>
          <a:spLocks noChangeAspect="1" noChangeArrowheads="1"/>
        </xdr:cNvSpPr>
      </xdr:nvSpPr>
      <xdr:spPr bwMode="auto">
        <a:xfrm>
          <a:off x="619125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21</xdr:row>
      <xdr:rowOff>0</xdr:rowOff>
    </xdr:from>
    <xdr:ext cx="304800" cy="304800"/>
    <xdr:sp macro="" textlink="">
      <xdr:nvSpPr>
        <xdr:cNvPr id="210" name="AutoShape 19" descr="Mexico"/>
        <xdr:cNvSpPr>
          <a:spLocks noChangeAspect="1" noChangeArrowheads="1"/>
        </xdr:cNvSpPr>
      </xdr:nvSpPr>
      <xdr:spPr bwMode="auto">
        <a:xfrm>
          <a:off x="6191250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20</xdr:row>
      <xdr:rowOff>0</xdr:rowOff>
    </xdr:from>
    <xdr:ext cx="304800" cy="304800"/>
    <xdr:sp macro="" textlink="">
      <xdr:nvSpPr>
        <xdr:cNvPr id="211" name="AutoShape 18" descr="Malta"/>
        <xdr:cNvSpPr>
          <a:spLocks noChangeAspect="1" noChangeArrowheads="1"/>
        </xdr:cNvSpPr>
      </xdr:nvSpPr>
      <xdr:spPr bwMode="auto">
        <a:xfrm>
          <a:off x="619125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21</xdr:row>
      <xdr:rowOff>0</xdr:rowOff>
    </xdr:from>
    <xdr:ext cx="304800" cy="304800"/>
    <xdr:sp macro="" textlink="">
      <xdr:nvSpPr>
        <xdr:cNvPr id="212" name="AutoShape 19" descr="Mexico"/>
        <xdr:cNvSpPr>
          <a:spLocks noChangeAspect="1" noChangeArrowheads="1"/>
        </xdr:cNvSpPr>
      </xdr:nvSpPr>
      <xdr:spPr bwMode="auto">
        <a:xfrm>
          <a:off x="6191250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22</xdr:row>
      <xdr:rowOff>0</xdr:rowOff>
    </xdr:from>
    <xdr:ext cx="304800" cy="304800"/>
    <xdr:sp macro="" textlink="">
      <xdr:nvSpPr>
        <xdr:cNvPr id="213" name="AutoShape 20" descr="Netherlands"/>
        <xdr:cNvSpPr>
          <a:spLocks noChangeAspect="1" noChangeArrowheads="1"/>
        </xdr:cNvSpPr>
      </xdr:nvSpPr>
      <xdr:spPr bwMode="auto">
        <a:xfrm>
          <a:off x="61912500" y="419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21</xdr:row>
      <xdr:rowOff>0</xdr:rowOff>
    </xdr:from>
    <xdr:ext cx="304800" cy="304800"/>
    <xdr:sp macro="" textlink="">
      <xdr:nvSpPr>
        <xdr:cNvPr id="214" name="AutoShape 19" descr="Mexico"/>
        <xdr:cNvSpPr>
          <a:spLocks noChangeAspect="1" noChangeArrowheads="1"/>
        </xdr:cNvSpPr>
      </xdr:nvSpPr>
      <xdr:spPr bwMode="auto">
        <a:xfrm>
          <a:off x="6191250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22</xdr:row>
      <xdr:rowOff>0</xdr:rowOff>
    </xdr:from>
    <xdr:ext cx="304800" cy="304800"/>
    <xdr:sp macro="" textlink="">
      <xdr:nvSpPr>
        <xdr:cNvPr id="215" name="AutoShape 20" descr="Netherlands"/>
        <xdr:cNvSpPr>
          <a:spLocks noChangeAspect="1" noChangeArrowheads="1"/>
        </xdr:cNvSpPr>
      </xdr:nvSpPr>
      <xdr:spPr bwMode="auto">
        <a:xfrm>
          <a:off x="61912500" y="419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23</xdr:row>
      <xdr:rowOff>0</xdr:rowOff>
    </xdr:from>
    <xdr:ext cx="304800" cy="304800"/>
    <xdr:sp macro="" textlink="">
      <xdr:nvSpPr>
        <xdr:cNvPr id="216" name="AutoShape 21" descr="New Zealand"/>
        <xdr:cNvSpPr>
          <a:spLocks noChangeAspect="1" noChangeArrowheads="1"/>
        </xdr:cNvSpPr>
      </xdr:nvSpPr>
      <xdr:spPr bwMode="auto">
        <a:xfrm>
          <a:off x="619125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22</xdr:row>
      <xdr:rowOff>0</xdr:rowOff>
    </xdr:from>
    <xdr:ext cx="304800" cy="304800"/>
    <xdr:sp macro="" textlink="">
      <xdr:nvSpPr>
        <xdr:cNvPr id="217" name="AutoShape 20" descr="Netherlands"/>
        <xdr:cNvSpPr>
          <a:spLocks noChangeAspect="1" noChangeArrowheads="1"/>
        </xdr:cNvSpPr>
      </xdr:nvSpPr>
      <xdr:spPr bwMode="auto">
        <a:xfrm>
          <a:off x="61912500" y="419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23</xdr:row>
      <xdr:rowOff>0</xdr:rowOff>
    </xdr:from>
    <xdr:ext cx="304800" cy="304800"/>
    <xdr:sp macro="" textlink="">
      <xdr:nvSpPr>
        <xdr:cNvPr id="218" name="AutoShape 21" descr="New Zealand"/>
        <xdr:cNvSpPr>
          <a:spLocks noChangeAspect="1" noChangeArrowheads="1"/>
        </xdr:cNvSpPr>
      </xdr:nvSpPr>
      <xdr:spPr bwMode="auto">
        <a:xfrm>
          <a:off x="619125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24</xdr:row>
      <xdr:rowOff>0</xdr:rowOff>
    </xdr:from>
    <xdr:ext cx="304800" cy="304800"/>
    <xdr:sp macro="" textlink="">
      <xdr:nvSpPr>
        <xdr:cNvPr id="219" name="AutoShape 22" descr="Portugal"/>
        <xdr:cNvSpPr>
          <a:spLocks noChangeAspect="1" noChangeArrowheads="1"/>
        </xdr:cNvSpPr>
      </xdr:nvSpPr>
      <xdr:spPr bwMode="auto">
        <a:xfrm>
          <a:off x="61912500"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23</xdr:row>
      <xdr:rowOff>0</xdr:rowOff>
    </xdr:from>
    <xdr:ext cx="304800" cy="304800"/>
    <xdr:sp macro="" textlink="">
      <xdr:nvSpPr>
        <xdr:cNvPr id="220" name="AutoShape 21" descr="New Zealand"/>
        <xdr:cNvSpPr>
          <a:spLocks noChangeAspect="1" noChangeArrowheads="1"/>
        </xdr:cNvSpPr>
      </xdr:nvSpPr>
      <xdr:spPr bwMode="auto">
        <a:xfrm>
          <a:off x="619125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24</xdr:row>
      <xdr:rowOff>0</xdr:rowOff>
    </xdr:from>
    <xdr:ext cx="304800" cy="304800"/>
    <xdr:sp macro="" textlink="">
      <xdr:nvSpPr>
        <xdr:cNvPr id="221" name="AutoShape 22" descr="Portugal"/>
        <xdr:cNvSpPr>
          <a:spLocks noChangeAspect="1" noChangeArrowheads="1"/>
        </xdr:cNvSpPr>
      </xdr:nvSpPr>
      <xdr:spPr bwMode="auto">
        <a:xfrm>
          <a:off x="61912500"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24</xdr:row>
      <xdr:rowOff>0</xdr:rowOff>
    </xdr:from>
    <xdr:ext cx="304800" cy="304800"/>
    <xdr:sp macro="" textlink="">
      <xdr:nvSpPr>
        <xdr:cNvPr id="222" name="AutoShape 22" descr="Portugal"/>
        <xdr:cNvSpPr>
          <a:spLocks noChangeAspect="1" noChangeArrowheads="1"/>
        </xdr:cNvSpPr>
      </xdr:nvSpPr>
      <xdr:spPr bwMode="auto">
        <a:xfrm>
          <a:off x="61912500"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28</xdr:row>
      <xdr:rowOff>0</xdr:rowOff>
    </xdr:from>
    <xdr:ext cx="304800" cy="304800"/>
    <xdr:sp macro="" textlink="">
      <xdr:nvSpPr>
        <xdr:cNvPr id="223" name="AutoShape 26" descr="South Africa"/>
        <xdr:cNvSpPr>
          <a:spLocks noChangeAspect="1" noChangeArrowheads="1"/>
        </xdr:cNvSpPr>
      </xdr:nvSpPr>
      <xdr:spPr bwMode="auto">
        <a:xfrm>
          <a:off x="61912500"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28</xdr:row>
      <xdr:rowOff>0</xdr:rowOff>
    </xdr:from>
    <xdr:ext cx="304800" cy="304800"/>
    <xdr:sp macro="" textlink="">
      <xdr:nvSpPr>
        <xdr:cNvPr id="224" name="AutoShape 26" descr="South Africa"/>
        <xdr:cNvSpPr>
          <a:spLocks noChangeAspect="1" noChangeArrowheads="1"/>
        </xdr:cNvSpPr>
      </xdr:nvSpPr>
      <xdr:spPr bwMode="auto">
        <a:xfrm>
          <a:off x="61912500"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29</xdr:row>
      <xdr:rowOff>0</xdr:rowOff>
    </xdr:from>
    <xdr:ext cx="304800" cy="304800"/>
    <xdr:sp macro="" textlink="">
      <xdr:nvSpPr>
        <xdr:cNvPr id="225" name="AutoShape 27" descr="South Korea"/>
        <xdr:cNvSpPr>
          <a:spLocks noChangeAspect="1" noChangeArrowheads="1"/>
        </xdr:cNvSpPr>
      </xdr:nvSpPr>
      <xdr:spPr bwMode="auto">
        <a:xfrm>
          <a:off x="61912500"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28</xdr:row>
      <xdr:rowOff>0</xdr:rowOff>
    </xdr:from>
    <xdr:ext cx="304800" cy="304800"/>
    <xdr:sp macro="" textlink="">
      <xdr:nvSpPr>
        <xdr:cNvPr id="226" name="AutoShape 26" descr="South Africa"/>
        <xdr:cNvSpPr>
          <a:spLocks noChangeAspect="1" noChangeArrowheads="1"/>
        </xdr:cNvSpPr>
      </xdr:nvSpPr>
      <xdr:spPr bwMode="auto">
        <a:xfrm>
          <a:off x="61912500"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29</xdr:row>
      <xdr:rowOff>0</xdr:rowOff>
    </xdr:from>
    <xdr:ext cx="304800" cy="304800"/>
    <xdr:sp macro="" textlink="">
      <xdr:nvSpPr>
        <xdr:cNvPr id="227" name="AutoShape 27" descr="South Korea"/>
        <xdr:cNvSpPr>
          <a:spLocks noChangeAspect="1" noChangeArrowheads="1"/>
        </xdr:cNvSpPr>
      </xdr:nvSpPr>
      <xdr:spPr bwMode="auto">
        <a:xfrm>
          <a:off x="61912500"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30</xdr:row>
      <xdr:rowOff>0</xdr:rowOff>
    </xdr:from>
    <xdr:ext cx="304800" cy="304800"/>
    <xdr:sp macro="" textlink="">
      <xdr:nvSpPr>
        <xdr:cNvPr id="228" name="AutoShape 28" descr="Spain"/>
        <xdr:cNvSpPr>
          <a:spLocks noChangeAspect="1" noChangeArrowheads="1"/>
        </xdr:cNvSpPr>
      </xdr:nvSpPr>
      <xdr:spPr bwMode="auto">
        <a:xfrm>
          <a:off x="619125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29</xdr:row>
      <xdr:rowOff>0</xdr:rowOff>
    </xdr:from>
    <xdr:ext cx="304800" cy="304800"/>
    <xdr:sp macro="" textlink="">
      <xdr:nvSpPr>
        <xdr:cNvPr id="229" name="AutoShape 27" descr="South Korea"/>
        <xdr:cNvSpPr>
          <a:spLocks noChangeAspect="1" noChangeArrowheads="1"/>
        </xdr:cNvSpPr>
      </xdr:nvSpPr>
      <xdr:spPr bwMode="auto">
        <a:xfrm>
          <a:off x="61912500"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30</xdr:row>
      <xdr:rowOff>0</xdr:rowOff>
    </xdr:from>
    <xdr:ext cx="304800" cy="304800"/>
    <xdr:sp macro="" textlink="">
      <xdr:nvSpPr>
        <xdr:cNvPr id="230" name="AutoShape 28" descr="Spain"/>
        <xdr:cNvSpPr>
          <a:spLocks noChangeAspect="1" noChangeArrowheads="1"/>
        </xdr:cNvSpPr>
      </xdr:nvSpPr>
      <xdr:spPr bwMode="auto">
        <a:xfrm>
          <a:off x="619125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31</xdr:row>
      <xdr:rowOff>0</xdr:rowOff>
    </xdr:from>
    <xdr:ext cx="304800" cy="304800"/>
    <xdr:sp macro="" textlink="">
      <xdr:nvSpPr>
        <xdr:cNvPr id="231" name="AutoShape 29" descr="Switzerland"/>
        <xdr:cNvSpPr>
          <a:spLocks noChangeAspect="1" noChangeArrowheads="1"/>
        </xdr:cNvSpPr>
      </xdr:nvSpPr>
      <xdr:spPr bwMode="auto">
        <a:xfrm>
          <a:off x="61912500" y="59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30</xdr:row>
      <xdr:rowOff>0</xdr:rowOff>
    </xdr:from>
    <xdr:ext cx="304800" cy="304800"/>
    <xdr:sp macro="" textlink="">
      <xdr:nvSpPr>
        <xdr:cNvPr id="232" name="AutoShape 28" descr="Spain"/>
        <xdr:cNvSpPr>
          <a:spLocks noChangeAspect="1" noChangeArrowheads="1"/>
        </xdr:cNvSpPr>
      </xdr:nvSpPr>
      <xdr:spPr bwMode="auto">
        <a:xfrm>
          <a:off x="619125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31</xdr:row>
      <xdr:rowOff>0</xdr:rowOff>
    </xdr:from>
    <xdr:ext cx="304800" cy="304800"/>
    <xdr:sp macro="" textlink="">
      <xdr:nvSpPr>
        <xdr:cNvPr id="233" name="AutoShape 29" descr="Switzerland"/>
        <xdr:cNvSpPr>
          <a:spLocks noChangeAspect="1" noChangeArrowheads="1"/>
        </xdr:cNvSpPr>
      </xdr:nvSpPr>
      <xdr:spPr bwMode="auto">
        <a:xfrm>
          <a:off x="61912500" y="59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32</xdr:row>
      <xdr:rowOff>0</xdr:rowOff>
    </xdr:from>
    <xdr:ext cx="304800" cy="304800"/>
    <xdr:sp macro="" textlink="">
      <xdr:nvSpPr>
        <xdr:cNvPr id="234" name="AutoShape 30" descr="Thailand"/>
        <xdr:cNvSpPr>
          <a:spLocks noChangeAspect="1" noChangeArrowheads="1"/>
        </xdr:cNvSpPr>
      </xdr:nvSpPr>
      <xdr:spPr bwMode="auto">
        <a:xfrm>
          <a:off x="61912500" y="609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31</xdr:row>
      <xdr:rowOff>0</xdr:rowOff>
    </xdr:from>
    <xdr:ext cx="304800" cy="304800"/>
    <xdr:sp macro="" textlink="">
      <xdr:nvSpPr>
        <xdr:cNvPr id="235" name="AutoShape 29" descr="Switzerland"/>
        <xdr:cNvSpPr>
          <a:spLocks noChangeAspect="1" noChangeArrowheads="1"/>
        </xdr:cNvSpPr>
      </xdr:nvSpPr>
      <xdr:spPr bwMode="auto">
        <a:xfrm>
          <a:off x="61912500" y="59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32</xdr:row>
      <xdr:rowOff>0</xdr:rowOff>
    </xdr:from>
    <xdr:ext cx="304800" cy="304800"/>
    <xdr:sp macro="" textlink="">
      <xdr:nvSpPr>
        <xdr:cNvPr id="236" name="AutoShape 30" descr="Thailand"/>
        <xdr:cNvSpPr>
          <a:spLocks noChangeAspect="1" noChangeArrowheads="1"/>
        </xdr:cNvSpPr>
      </xdr:nvSpPr>
      <xdr:spPr bwMode="auto">
        <a:xfrm>
          <a:off x="61912500" y="609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33</xdr:row>
      <xdr:rowOff>0</xdr:rowOff>
    </xdr:from>
    <xdr:ext cx="304800" cy="304800"/>
    <xdr:sp macro="" textlink="">
      <xdr:nvSpPr>
        <xdr:cNvPr id="237" name="AutoShape 31" descr="United Arab Emirates"/>
        <xdr:cNvSpPr>
          <a:spLocks noChangeAspect="1" noChangeArrowheads="1"/>
        </xdr:cNvSpPr>
      </xdr:nvSpPr>
      <xdr:spPr bwMode="auto">
        <a:xfrm>
          <a:off x="61912500" y="628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32</xdr:row>
      <xdr:rowOff>0</xdr:rowOff>
    </xdr:from>
    <xdr:ext cx="304800" cy="304800"/>
    <xdr:sp macro="" textlink="">
      <xdr:nvSpPr>
        <xdr:cNvPr id="238" name="AutoShape 30" descr="Thailand"/>
        <xdr:cNvSpPr>
          <a:spLocks noChangeAspect="1" noChangeArrowheads="1"/>
        </xdr:cNvSpPr>
      </xdr:nvSpPr>
      <xdr:spPr bwMode="auto">
        <a:xfrm>
          <a:off x="61912500" y="609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33</xdr:row>
      <xdr:rowOff>0</xdr:rowOff>
    </xdr:from>
    <xdr:ext cx="304800" cy="304800"/>
    <xdr:sp macro="" textlink="">
      <xdr:nvSpPr>
        <xdr:cNvPr id="239" name="AutoShape 31" descr="United Arab Emirates"/>
        <xdr:cNvSpPr>
          <a:spLocks noChangeAspect="1" noChangeArrowheads="1"/>
        </xdr:cNvSpPr>
      </xdr:nvSpPr>
      <xdr:spPr bwMode="auto">
        <a:xfrm>
          <a:off x="61912500" y="628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34</xdr:row>
      <xdr:rowOff>0</xdr:rowOff>
    </xdr:from>
    <xdr:ext cx="304800" cy="304800"/>
    <xdr:sp macro="" textlink="">
      <xdr:nvSpPr>
        <xdr:cNvPr id="240" name="AutoShape 32" descr="United Kingdom"/>
        <xdr:cNvSpPr>
          <a:spLocks noChangeAspect="1" noChangeArrowheads="1"/>
        </xdr:cNvSpPr>
      </xdr:nvSpPr>
      <xdr:spPr bwMode="auto">
        <a:xfrm>
          <a:off x="6191250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33</xdr:row>
      <xdr:rowOff>0</xdr:rowOff>
    </xdr:from>
    <xdr:ext cx="304800" cy="304800"/>
    <xdr:sp macro="" textlink="">
      <xdr:nvSpPr>
        <xdr:cNvPr id="241" name="AutoShape 31" descr="United Arab Emirates"/>
        <xdr:cNvSpPr>
          <a:spLocks noChangeAspect="1" noChangeArrowheads="1"/>
        </xdr:cNvSpPr>
      </xdr:nvSpPr>
      <xdr:spPr bwMode="auto">
        <a:xfrm>
          <a:off x="61912500" y="628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34</xdr:row>
      <xdr:rowOff>0</xdr:rowOff>
    </xdr:from>
    <xdr:ext cx="304800" cy="304800"/>
    <xdr:sp macro="" textlink="">
      <xdr:nvSpPr>
        <xdr:cNvPr id="242" name="AutoShape 32" descr="United Kingdom"/>
        <xdr:cNvSpPr>
          <a:spLocks noChangeAspect="1" noChangeArrowheads="1"/>
        </xdr:cNvSpPr>
      </xdr:nvSpPr>
      <xdr:spPr bwMode="auto">
        <a:xfrm>
          <a:off x="6191250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35</xdr:row>
      <xdr:rowOff>0</xdr:rowOff>
    </xdr:from>
    <xdr:ext cx="304800" cy="304800"/>
    <xdr:sp macro="" textlink="">
      <xdr:nvSpPr>
        <xdr:cNvPr id="243" name="AutoShape 33" descr="Vietnam"/>
        <xdr:cNvSpPr>
          <a:spLocks noChangeAspect="1" noChangeArrowheads="1"/>
        </xdr:cNvSpPr>
      </xdr:nvSpPr>
      <xdr:spPr bwMode="auto">
        <a:xfrm>
          <a:off x="61912500" y="666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41</xdr:col>
      <xdr:colOff>0</xdr:colOff>
      <xdr:row>34</xdr:row>
      <xdr:rowOff>0</xdr:rowOff>
    </xdr:from>
    <xdr:ext cx="304800" cy="304800"/>
    <xdr:sp macro="" textlink="">
      <xdr:nvSpPr>
        <xdr:cNvPr id="244" name="AutoShape 32" descr="United Kingdom"/>
        <xdr:cNvSpPr>
          <a:spLocks noChangeAspect="1" noChangeArrowheads="1"/>
        </xdr:cNvSpPr>
      </xdr:nvSpPr>
      <xdr:spPr bwMode="auto">
        <a:xfrm>
          <a:off x="6191250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xdr:row>
      <xdr:rowOff>0</xdr:rowOff>
    </xdr:from>
    <xdr:ext cx="304800" cy="304800"/>
    <xdr:sp macro="" textlink="">
      <xdr:nvSpPr>
        <xdr:cNvPr id="245" name="AutoShape 1" descr="Austria"/>
        <xdr:cNvSpPr>
          <a:spLocks noChangeAspect="1" noChangeArrowheads="1"/>
        </xdr:cNvSpPr>
      </xdr:nvSpPr>
      <xdr:spPr bwMode="auto">
        <a:xfrm>
          <a:off x="98117025"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xdr:row>
      <xdr:rowOff>0</xdr:rowOff>
    </xdr:from>
    <xdr:ext cx="304800" cy="304800"/>
    <xdr:sp macro="" textlink="">
      <xdr:nvSpPr>
        <xdr:cNvPr id="246" name="AutoShape 1" descr="Austria"/>
        <xdr:cNvSpPr>
          <a:spLocks noChangeAspect="1" noChangeArrowheads="1"/>
        </xdr:cNvSpPr>
      </xdr:nvSpPr>
      <xdr:spPr bwMode="auto">
        <a:xfrm>
          <a:off x="98117025"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xdr:row>
      <xdr:rowOff>0</xdr:rowOff>
    </xdr:from>
    <xdr:ext cx="304800" cy="304800"/>
    <xdr:sp macro="" textlink="">
      <xdr:nvSpPr>
        <xdr:cNvPr id="247" name="AutoShape 2" descr="Azerbaijan"/>
        <xdr:cNvSpPr>
          <a:spLocks noChangeAspect="1" noChangeArrowheads="1"/>
        </xdr:cNvSpPr>
      </xdr:nvSpPr>
      <xdr:spPr bwMode="auto">
        <a:xfrm>
          <a:off x="98117025"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xdr:row>
      <xdr:rowOff>0</xdr:rowOff>
    </xdr:from>
    <xdr:ext cx="304800" cy="304800"/>
    <xdr:sp macro="" textlink="">
      <xdr:nvSpPr>
        <xdr:cNvPr id="248" name="AutoShape 1" descr="Austria"/>
        <xdr:cNvSpPr>
          <a:spLocks noChangeAspect="1" noChangeArrowheads="1"/>
        </xdr:cNvSpPr>
      </xdr:nvSpPr>
      <xdr:spPr bwMode="auto">
        <a:xfrm>
          <a:off x="98117025"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xdr:row>
      <xdr:rowOff>0</xdr:rowOff>
    </xdr:from>
    <xdr:ext cx="304800" cy="304800"/>
    <xdr:sp macro="" textlink="">
      <xdr:nvSpPr>
        <xdr:cNvPr id="249" name="AutoShape 2" descr="Azerbaijan"/>
        <xdr:cNvSpPr>
          <a:spLocks noChangeAspect="1" noChangeArrowheads="1"/>
        </xdr:cNvSpPr>
      </xdr:nvSpPr>
      <xdr:spPr bwMode="auto">
        <a:xfrm>
          <a:off x="98117025"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6</xdr:row>
      <xdr:rowOff>0</xdr:rowOff>
    </xdr:from>
    <xdr:ext cx="304800" cy="304800"/>
    <xdr:sp macro="" textlink="">
      <xdr:nvSpPr>
        <xdr:cNvPr id="250" name="AutoShape 3" descr="Belarus"/>
        <xdr:cNvSpPr>
          <a:spLocks noChangeAspect="1" noChangeArrowheads="1"/>
        </xdr:cNvSpPr>
      </xdr:nvSpPr>
      <xdr:spPr bwMode="auto">
        <a:xfrm>
          <a:off x="98117025"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xdr:row>
      <xdr:rowOff>0</xdr:rowOff>
    </xdr:from>
    <xdr:ext cx="304800" cy="304800"/>
    <xdr:sp macro="" textlink="">
      <xdr:nvSpPr>
        <xdr:cNvPr id="251" name="AutoShape 2" descr="Azerbaijan"/>
        <xdr:cNvSpPr>
          <a:spLocks noChangeAspect="1" noChangeArrowheads="1"/>
        </xdr:cNvSpPr>
      </xdr:nvSpPr>
      <xdr:spPr bwMode="auto">
        <a:xfrm>
          <a:off x="98117025"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6</xdr:row>
      <xdr:rowOff>0</xdr:rowOff>
    </xdr:from>
    <xdr:ext cx="304800" cy="304800"/>
    <xdr:sp macro="" textlink="">
      <xdr:nvSpPr>
        <xdr:cNvPr id="252" name="AutoShape 3" descr="Belarus"/>
        <xdr:cNvSpPr>
          <a:spLocks noChangeAspect="1" noChangeArrowheads="1"/>
        </xdr:cNvSpPr>
      </xdr:nvSpPr>
      <xdr:spPr bwMode="auto">
        <a:xfrm>
          <a:off x="98117025"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7</xdr:row>
      <xdr:rowOff>0</xdr:rowOff>
    </xdr:from>
    <xdr:ext cx="304800" cy="304800"/>
    <xdr:sp macro="" textlink="">
      <xdr:nvSpPr>
        <xdr:cNvPr id="253" name="AutoShape 4" descr="Belgium"/>
        <xdr:cNvSpPr>
          <a:spLocks noChangeAspect="1" noChangeArrowheads="1"/>
        </xdr:cNvSpPr>
      </xdr:nvSpPr>
      <xdr:spPr bwMode="auto">
        <a:xfrm>
          <a:off x="9811702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6</xdr:row>
      <xdr:rowOff>0</xdr:rowOff>
    </xdr:from>
    <xdr:ext cx="304800" cy="304800"/>
    <xdr:sp macro="" textlink="">
      <xdr:nvSpPr>
        <xdr:cNvPr id="254" name="AutoShape 3" descr="Belarus"/>
        <xdr:cNvSpPr>
          <a:spLocks noChangeAspect="1" noChangeArrowheads="1"/>
        </xdr:cNvSpPr>
      </xdr:nvSpPr>
      <xdr:spPr bwMode="auto">
        <a:xfrm>
          <a:off x="98117025"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7</xdr:row>
      <xdr:rowOff>0</xdr:rowOff>
    </xdr:from>
    <xdr:ext cx="304800" cy="304800"/>
    <xdr:sp macro="" textlink="">
      <xdr:nvSpPr>
        <xdr:cNvPr id="255" name="AutoShape 4" descr="Belgium"/>
        <xdr:cNvSpPr>
          <a:spLocks noChangeAspect="1" noChangeArrowheads="1"/>
        </xdr:cNvSpPr>
      </xdr:nvSpPr>
      <xdr:spPr bwMode="auto">
        <a:xfrm>
          <a:off x="9811702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8</xdr:row>
      <xdr:rowOff>0</xdr:rowOff>
    </xdr:from>
    <xdr:ext cx="304800" cy="304800"/>
    <xdr:sp macro="" textlink="">
      <xdr:nvSpPr>
        <xdr:cNvPr id="263" name="AutoShape 5" descr="Bulgaria"/>
        <xdr:cNvSpPr>
          <a:spLocks noChangeAspect="1" noChangeArrowheads="1"/>
        </xdr:cNvSpPr>
      </xdr:nvSpPr>
      <xdr:spPr bwMode="auto">
        <a:xfrm>
          <a:off x="98117025"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7</xdr:row>
      <xdr:rowOff>0</xdr:rowOff>
    </xdr:from>
    <xdr:ext cx="304800" cy="304800"/>
    <xdr:sp macro="" textlink="">
      <xdr:nvSpPr>
        <xdr:cNvPr id="269" name="AutoShape 4" descr="Belgium"/>
        <xdr:cNvSpPr>
          <a:spLocks noChangeAspect="1" noChangeArrowheads="1"/>
        </xdr:cNvSpPr>
      </xdr:nvSpPr>
      <xdr:spPr bwMode="auto">
        <a:xfrm>
          <a:off x="9811702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8</xdr:row>
      <xdr:rowOff>0</xdr:rowOff>
    </xdr:from>
    <xdr:ext cx="304800" cy="304800"/>
    <xdr:sp macro="" textlink="">
      <xdr:nvSpPr>
        <xdr:cNvPr id="270" name="AutoShape 5" descr="Bulgaria"/>
        <xdr:cNvSpPr>
          <a:spLocks noChangeAspect="1" noChangeArrowheads="1"/>
        </xdr:cNvSpPr>
      </xdr:nvSpPr>
      <xdr:spPr bwMode="auto">
        <a:xfrm>
          <a:off x="98117025"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9</xdr:row>
      <xdr:rowOff>0</xdr:rowOff>
    </xdr:from>
    <xdr:ext cx="304800" cy="304800"/>
    <xdr:sp macro="" textlink="">
      <xdr:nvSpPr>
        <xdr:cNvPr id="271" name="AutoShape 6" descr="Canada"/>
        <xdr:cNvSpPr>
          <a:spLocks noChangeAspect="1" noChangeArrowheads="1"/>
        </xdr:cNvSpPr>
      </xdr:nvSpPr>
      <xdr:spPr bwMode="auto">
        <a:xfrm>
          <a:off x="98117025"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8</xdr:row>
      <xdr:rowOff>0</xdr:rowOff>
    </xdr:from>
    <xdr:ext cx="304800" cy="304800"/>
    <xdr:sp macro="" textlink="">
      <xdr:nvSpPr>
        <xdr:cNvPr id="272" name="AutoShape 5" descr="Bulgaria"/>
        <xdr:cNvSpPr>
          <a:spLocks noChangeAspect="1" noChangeArrowheads="1"/>
        </xdr:cNvSpPr>
      </xdr:nvSpPr>
      <xdr:spPr bwMode="auto">
        <a:xfrm>
          <a:off x="98117025" y="152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9</xdr:row>
      <xdr:rowOff>0</xdr:rowOff>
    </xdr:from>
    <xdr:ext cx="304800" cy="304800"/>
    <xdr:sp macro="" textlink="">
      <xdr:nvSpPr>
        <xdr:cNvPr id="273" name="AutoShape 6" descr="Canada"/>
        <xdr:cNvSpPr>
          <a:spLocks noChangeAspect="1" noChangeArrowheads="1"/>
        </xdr:cNvSpPr>
      </xdr:nvSpPr>
      <xdr:spPr bwMode="auto">
        <a:xfrm>
          <a:off x="98117025"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10</xdr:row>
      <xdr:rowOff>0</xdr:rowOff>
    </xdr:from>
    <xdr:ext cx="304800" cy="304800"/>
    <xdr:sp macro="" textlink="">
      <xdr:nvSpPr>
        <xdr:cNvPr id="274" name="AutoShape 7" descr="China"/>
        <xdr:cNvSpPr>
          <a:spLocks noChangeAspect="1" noChangeArrowheads="1"/>
        </xdr:cNvSpPr>
      </xdr:nvSpPr>
      <xdr:spPr bwMode="auto">
        <a:xfrm>
          <a:off x="98117025"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9</xdr:row>
      <xdr:rowOff>0</xdr:rowOff>
    </xdr:from>
    <xdr:ext cx="304800" cy="304800"/>
    <xdr:sp macro="" textlink="">
      <xdr:nvSpPr>
        <xdr:cNvPr id="275" name="AutoShape 6" descr="Canada"/>
        <xdr:cNvSpPr>
          <a:spLocks noChangeAspect="1" noChangeArrowheads="1"/>
        </xdr:cNvSpPr>
      </xdr:nvSpPr>
      <xdr:spPr bwMode="auto">
        <a:xfrm>
          <a:off x="98117025"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10</xdr:row>
      <xdr:rowOff>0</xdr:rowOff>
    </xdr:from>
    <xdr:ext cx="304800" cy="304800"/>
    <xdr:sp macro="" textlink="">
      <xdr:nvSpPr>
        <xdr:cNvPr id="276" name="AutoShape 7" descr="China"/>
        <xdr:cNvSpPr>
          <a:spLocks noChangeAspect="1" noChangeArrowheads="1"/>
        </xdr:cNvSpPr>
      </xdr:nvSpPr>
      <xdr:spPr bwMode="auto">
        <a:xfrm>
          <a:off x="98117025"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11</xdr:row>
      <xdr:rowOff>0</xdr:rowOff>
    </xdr:from>
    <xdr:ext cx="304800" cy="304800"/>
    <xdr:sp macro="" textlink="">
      <xdr:nvSpPr>
        <xdr:cNvPr id="277" name="AutoShape 8" descr="Croatia"/>
        <xdr:cNvSpPr>
          <a:spLocks noChangeAspect="1" noChangeArrowheads="1"/>
        </xdr:cNvSpPr>
      </xdr:nvSpPr>
      <xdr:spPr bwMode="auto">
        <a:xfrm>
          <a:off x="98117025"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10</xdr:row>
      <xdr:rowOff>0</xdr:rowOff>
    </xdr:from>
    <xdr:ext cx="304800" cy="304800"/>
    <xdr:sp macro="" textlink="">
      <xdr:nvSpPr>
        <xdr:cNvPr id="278" name="AutoShape 7" descr="China"/>
        <xdr:cNvSpPr>
          <a:spLocks noChangeAspect="1" noChangeArrowheads="1"/>
        </xdr:cNvSpPr>
      </xdr:nvSpPr>
      <xdr:spPr bwMode="auto">
        <a:xfrm>
          <a:off x="98117025"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11</xdr:row>
      <xdr:rowOff>0</xdr:rowOff>
    </xdr:from>
    <xdr:ext cx="304800" cy="304800"/>
    <xdr:sp macro="" textlink="">
      <xdr:nvSpPr>
        <xdr:cNvPr id="279" name="AutoShape 8" descr="Croatia"/>
        <xdr:cNvSpPr>
          <a:spLocks noChangeAspect="1" noChangeArrowheads="1"/>
        </xdr:cNvSpPr>
      </xdr:nvSpPr>
      <xdr:spPr bwMode="auto">
        <a:xfrm>
          <a:off x="98117025"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12</xdr:row>
      <xdr:rowOff>0</xdr:rowOff>
    </xdr:from>
    <xdr:ext cx="304800" cy="304800"/>
    <xdr:sp macro="" textlink="">
      <xdr:nvSpPr>
        <xdr:cNvPr id="280" name="AutoShape 9" descr="Cyprus"/>
        <xdr:cNvSpPr>
          <a:spLocks noChangeAspect="1" noChangeArrowheads="1"/>
        </xdr:cNvSpPr>
      </xdr:nvSpPr>
      <xdr:spPr bwMode="auto">
        <a:xfrm>
          <a:off x="98117025"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11</xdr:row>
      <xdr:rowOff>0</xdr:rowOff>
    </xdr:from>
    <xdr:ext cx="304800" cy="304800"/>
    <xdr:sp macro="" textlink="">
      <xdr:nvSpPr>
        <xdr:cNvPr id="281" name="AutoShape 8" descr="Croatia"/>
        <xdr:cNvSpPr>
          <a:spLocks noChangeAspect="1" noChangeArrowheads="1"/>
        </xdr:cNvSpPr>
      </xdr:nvSpPr>
      <xdr:spPr bwMode="auto">
        <a:xfrm>
          <a:off x="98117025"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12</xdr:row>
      <xdr:rowOff>0</xdr:rowOff>
    </xdr:from>
    <xdr:ext cx="304800" cy="304800"/>
    <xdr:sp macro="" textlink="">
      <xdr:nvSpPr>
        <xdr:cNvPr id="282" name="AutoShape 9" descr="Cyprus"/>
        <xdr:cNvSpPr>
          <a:spLocks noChangeAspect="1" noChangeArrowheads="1"/>
        </xdr:cNvSpPr>
      </xdr:nvSpPr>
      <xdr:spPr bwMode="auto">
        <a:xfrm>
          <a:off x="98117025"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13</xdr:row>
      <xdr:rowOff>0</xdr:rowOff>
    </xdr:from>
    <xdr:ext cx="304800" cy="304800"/>
    <xdr:sp macro="" textlink="">
      <xdr:nvSpPr>
        <xdr:cNvPr id="283" name="AutoShape 10" descr="Czech Republic"/>
        <xdr:cNvSpPr>
          <a:spLocks noChangeAspect="1" noChangeArrowheads="1"/>
        </xdr:cNvSpPr>
      </xdr:nvSpPr>
      <xdr:spPr bwMode="auto">
        <a:xfrm>
          <a:off x="98117025"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12</xdr:row>
      <xdr:rowOff>0</xdr:rowOff>
    </xdr:from>
    <xdr:ext cx="304800" cy="304800"/>
    <xdr:sp macro="" textlink="">
      <xdr:nvSpPr>
        <xdr:cNvPr id="284" name="AutoShape 9" descr="Cyprus"/>
        <xdr:cNvSpPr>
          <a:spLocks noChangeAspect="1" noChangeArrowheads="1"/>
        </xdr:cNvSpPr>
      </xdr:nvSpPr>
      <xdr:spPr bwMode="auto">
        <a:xfrm>
          <a:off x="98117025"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13</xdr:row>
      <xdr:rowOff>0</xdr:rowOff>
    </xdr:from>
    <xdr:ext cx="304800" cy="304800"/>
    <xdr:sp macro="" textlink="">
      <xdr:nvSpPr>
        <xdr:cNvPr id="285" name="AutoShape 10" descr="Czech Republic"/>
        <xdr:cNvSpPr>
          <a:spLocks noChangeAspect="1" noChangeArrowheads="1"/>
        </xdr:cNvSpPr>
      </xdr:nvSpPr>
      <xdr:spPr bwMode="auto">
        <a:xfrm>
          <a:off x="98117025"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14</xdr:row>
      <xdr:rowOff>0</xdr:rowOff>
    </xdr:from>
    <xdr:ext cx="304800" cy="304800"/>
    <xdr:sp macro="" textlink="">
      <xdr:nvSpPr>
        <xdr:cNvPr id="286" name="AutoShape 11" descr="Denmark"/>
        <xdr:cNvSpPr>
          <a:spLocks noChangeAspect="1" noChangeArrowheads="1"/>
        </xdr:cNvSpPr>
      </xdr:nvSpPr>
      <xdr:spPr bwMode="auto">
        <a:xfrm>
          <a:off x="98117025"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13</xdr:row>
      <xdr:rowOff>0</xdr:rowOff>
    </xdr:from>
    <xdr:ext cx="304800" cy="304800"/>
    <xdr:sp macro="" textlink="">
      <xdr:nvSpPr>
        <xdr:cNvPr id="287" name="AutoShape 10" descr="Czech Republic"/>
        <xdr:cNvSpPr>
          <a:spLocks noChangeAspect="1" noChangeArrowheads="1"/>
        </xdr:cNvSpPr>
      </xdr:nvSpPr>
      <xdr:spPr bwMode="auto">
        <a:xfrm>
          <a:off x="98117025"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14</xdr:row>
      <xdr:rowOff>0</xdr:rowOff>
    </xdr:from>
    <xdr:ext cx="304800" cy="304800"/>
    <xdr:sp macro="" textlink="">
      <xdr:nvSpPr>
        <xdr:cNvPr id="288" name="AutoShape 11" descr="Denmark"/>
        <xdr:cNvSpPr>
          <a:spLocks noChangeAspect="1" noChangeArrowheads="1"/>
        </xdr:cNvSpPr>
      </xdr:nvSpPr>
      <xdr:spPr bwMode="auto">
        <a:xfrm>
          <a:off x="98117025"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15</xdr:row>
      <xdr:rowOff>0</xdr:rowOff>
    </xdr:from>
    <xdr:ext cx="304800" cy="304800"/>
    <xdr:sp macro="" textlink="">
      <xdr:nvSpPr>
        <xdr:cNvPr id="289" name="AutoShape 12" descr="Estonia"/>
        <xdr:cNvSpPr>
          <a:spLocks noChangeAspect="1" noChangeArrowheads="1"/>
        </xdr:cNvSpPr>
      </xdr:nvSpPr>
      <xdr:spPr bwMode="auto">
        <a:xfrm>
          <a:off x="98117025"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14</xdr:row>
      <xdr:rowOff>0</xdr:rowOff>
    </xdr:from>
    <xdr:ext cx="304800" cy="304800"/>
    <xdr:sp macro="" textlink="">
      <xdr:nvSpPr>
        <xdr:cNvPr id="290" name="AutoShape 11" descr="Denmark"/>
        <xdr:cNvSpPr>
          <a:spLocks noChangeAspect="1" noChangeArrowheads="1"/>
        </xdr:cNvSpPr>
      </xdr:nvSpPr>
      <xdr:spPr bwMode="auto">
        <a:xfrm>
          <a:off x="98117025"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15</xdr:row>
      <xdr:rowOff>0</xdr:rowOff>
    </xdr:from>
    <xdr:ext cx="304800" cy="304800"/>
    <xdr:sp macro="" textlink="">
      <xdr:nvSpPr>
        <xdr:cNvPr id="291" name="AutoShape 12" descr="Estonia"/>
        <xdr:cNvSpPr>
          <a:spLocks noChangeAspect="1" noChangeArrowheads="1"/>
        </xdr:cNvSpPr>
      </xdr:nvSpPr>
      <xdr:spPr bwMode="auto">
        <a:xfrm>
          <a:off x="98117025"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16</xdr:row>
      <xdr:rowOff>0</xdr:rowOff>
    </xdr:from>
    <xdr:ext cx="304800" cy="304800"/>
    <xdr:sp macro="" textlink="">
      <xdr:nvSpPr>
        <xdr:cNvPr id="292" name="AutoShape 13" descr="FYROM"/>
        <xdr:cNvSpPr>
          <a:spLocks noChangeAspect="1" noChangeArrowheads="1"/>
        </xdr:cNvSpPr>
      </xdr:nvSpPr>
      <xdr:spPr bwMode="auto">
        <a:xfrm>
          <a:off x="98117025"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15</xdr:row>
      <xdr:rowOff>0</xdr:rowOff>
    </xdr:from>
    <xdr:ext cx="304800" cy="304800"/>
    <xdr:sp macro="" textlink="">
      <xdr:nvSpPr>
        <xdr:cNvPr id="293" name="AutoShape 12" descr="Estonia"/>
        <xdr:cNvSpPr>
          <a:spLocks noChangeAspect="1" noChangeArrowheads="1"/>
        </xdr:cNvSpPr>
      </xdr:nvSpPr>
      <xdr:spPr bwMode="auto">
        <a:xfrm>
          <a:off x="98117025"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16</xdr:row>
      <xdr:rowOff>0</xdr:rowOff>
    </xdr:from>
    <xdr:ext cx="304800" cy="304800"/>
    <xdr:sp macro="" textlink="">
      <xdr:nvSpPr>
        <xdr:cNvPr id="294" name="AutoShape 13" descr="FYROM"/>
        <xdr:cNvSpPr>
          <a:spLocks noChangeAspect="1" noChangeArrowheads="1"/>
        </xdr:cNvSpPr>
      </xdr:nvSpPr>
      <xdr:spPr bwMode="auto">
        <a:xfrm>
          <a:off x="98117025"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17</xdr:row>
      <xdr:rowOff>0</xdr:rowOff>
    </xdr:from>
    <xdr:ext cx="304800" cy="304800"/>
    <xdr:sp macro="" textlink="">
      <xdr:nvSpPr>
        <xdr:cNvPr id="295" name="AutoShape 14" descr="Finland"/>
        <xdr:cNvSpPr>
          <a:spLocks noChangeAspect="1" noChangeArrowheads="1"/>
        </xdr:cNvSpPr>
      </xdr:nvSpPr>
      <xdr:spPr bwMode="auto">
        <a:xfrm>
          <a:off x="98117025"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16</xdr:row>
      <xdr:rowOff>0</xdr:rowOff>
    </xdr:from>
    <xdr:ext cx="304800" cy="304800"/>
    <xdr:sp macro="" textlink="">
      <xdr:nvSpPr>
        <xdr:cNvPr id="296" name="AutoShape 13" descr="FYROM"/>
        <xdr:cNvSpPr>
          <a:spLocks noChangeAspect="1" noChangeArrowheads="1"/>
        </xdr:cNvSpPr>
      </xdr:nvSpPr>
      <xdr:spPr bwMode="auto">
        <a:xfrm>
          <a:off x="98117025"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17</xdr:row>
      <xdr:rowOff>0</xdr:rowOff>
    </xdr:from>
    <xdr:ext cx="304800" cy="304800"/>
    <xdr:sp macro="" textlink="">
      <xdr:nvSpPr>
        <xdr:cNvPr id="298" name="AutoShape 14" descr="Finland"/>
        <xdr:cNvSpPr>
          <a:spLocks noChangeAspect="1" noChangeArrowheads="1"/>
        </xdr:cNvSpPr>
      </xdr:nvSpPr>
      <xdr:spPr bwMode="auto">
        <a:xfrm>
          <a:off x="98117025"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18</xdr:row>
      <xdr:rowOff>0</xdr:rowOff>
    </xdr:from>
    <xdr:ext cx="304800" cy="304800"/>
    <xdr:sp macro="" textlink="">
      <xdr:nvSpPr>
        <xdr:cNvPr id="299" name="AutoShape 15" descr="France"/>
        <xdr:cNvSpPr>
          <a:spLocks noChangeAspect="1" noChangeArrowheads="1"/>
        </xdr:cNvSpPr>
      </xdr:nvSpPr>
      <xdr:spPr bwMode="auto">
        <a:xfrm>
          <a:off x="98117025"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17</xdr:row>
      <xdr:rowOff>0</xdr:rowOff>
    </xdr:from>
    <xdr:ext cx="304800" cy="304800"/>
    <xdr:sp macro="" textlink="">
      <xdr:nvSpPr>
        <xdr:cNvPr id="300" name="AutoShape 14" descr="Finland"/>
        <xdr:cNvSpPr>
          <a:spLocks noChangeAspect="1" noChangeArrowheads="1"/>
        </xdr:cNvSpPr>
      </xdr:nvSpPr>
      <xdr:spPr bwMode="auto">
        <a:xfrm>
          <a:off x="98117025"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18</xdr:row>
      <xdr:rowOff>0</xdr:rowOff>
    </xdr:from>
    <xdr:ext cx="304800" cy="304800"/>
    <xdr:sp macro="" textlink="">
      <xdr:nvSpPr>
        <xdr:cNvPr id="309" name="AutoShape 15" descr="France"/>
        <xdr:cNvSpPr>
          <a:spLocks noChangeAspect="1" noChangeArrowheads="1"/>
        </xdr:cNvSpPr>
      </xdr:nvSpPr>
      <xdr:spPr bwMode="auto">
        <a:xfrm>
          <a:off x="98117025"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19</xdr:row>
      <xdr:rowOff>0</xdr:rowOff>
    </xdr:from>
    <xdr:ext cx="304800" cy="304800"/>
    <xdr:sp macro="" textlink="">
      <xdr:nvSpPr>
        <xdr:cNvPr id="310" name="AutoShape 16" descr="Georgia"/>
        <xdr:cNvSpPr>
          <a:spLocks noChangeAspect="1" noChangeArrowheads="1"/>
        </xdr:cNvSpPr>
      </xdr:nvSpPr>
      <xdr:spPr bwMode="auto">
        <a:xfrm>
          <a:off x="98117025"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18</xdr:row>
      <xdr:rowOff>0</xdr:rowOff>
    </xdr:from>
    <xdr:ext cx="304800" cy="304800"/>
    <xdr:sp macro="" textlink="">
      <xdr:nvSpPr>
        <xdr:cNvPr id="311" name="AutoShape 15" descr="France"/>
        <xdr:cNvSpPr>
          <a:spLocks noChangeAspect="1" noChangeArrowheads="1"/>
        </xdr:cNvSpPr>
      </xdr:nvSpPr>
      <xdr:spPr bwMode="auto">
        <a:xfrm>
          <a:off x="98117025"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19</xdr:row>
      <xdr:rowOff>0</xdr:rowOff>
    </xdr:from>
    <xdr:ext cx="304800" cy="304800"/>
    <xdr:sp macro="" textlink="">
      <xdr:nvSpPr>
        <xdr:cNvPr id="312" name="AutoShape 16" descr="Georgia"/>
        <xdr:cNvSpPr>
          <a:spLocks noChangeAspect="1" noChangeArrowheads="1"/>
        </xdr:cNvSpPr>
      </xdr:nvSpPr>
      <xdr:spPr bwMode="auto">
        <a:xfrm>
          <a:off x="98117025"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20</xdr:row>
      <xdr:rowOff>0</xdr:rowOff>
    </xdr:from>
    <xdr:ext cx="304800" cy="304800"/>
    <xdr:sp macro="" textlink="">
      <xdr:nvSpPr>
        <xdr:cNvPr id="313" name="AutoShape 17" descr="Germany"/>
        <xdr:cNvSpPr>
          <a:spLocks noChangeAspect="1" noChangeArrowheads="1"/>
        </xdr:cNvSpPr>
      </xdr:nvSpPr>
      <xdr:spPr bwMode="auto">
        <a:xfrm>
          <a:off x="98117025"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19</xdr:row>
      <xdr:rowOff>0</xdr:rowOff>
    </xdr:from>
    <xdr:ext cx="304800" cy="304800"/>
    <xdr:sp macro="" textlink="">
      <xdr:nvSpPr>
        <xdr:cNvPr id="314" name="AutoShape 16" descr="Georgia"/>
        <xdr:cNvSpPr>
          <a:spLocks noChangeAspect="1" noChangeArrowheads="1"/>
        </xdr:cNvSpPr>
      </xdr:nvSpPr>
      <xdr:spPr bwMode="auto">
        <a:xfrm>
          <a:off x="98117025"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20</xdr:row>
      <xdr:rowOff>0</xdr:rowOff>
    </xdr:from>
    <xdr:ext cx="304800" cy="304800"/>
    <xdr:sp macro="" textlink="">
      <xdr:nvSpPr>
        <xdr:cNvPr id="315" name="AutoShape 17" descr="Germany"/>
        <xdr:cNvSpPr>
          <a:spLocks noChangeAspect="1" noChangeArrowheads="1"/>
        </xdr:cNvSpPr>
      </xdr:nvSpPr>
      <xdr:spPr bwMode="auto">
        <a:xfrm>
          <a:off x="98117025"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21</xdr:row>
      <xdr:rowOff>0</xdr:rowOff>
    </xdr:from>
    <xdr:ext cx="304800" cy="304800"/>
    <xdr:sp macro="" textlink="">
      <xdr:nvSpPr>
        <xdr:cNvPr id="316" name="AutoShape 18" descr="Greece"/>
        <xdr:cNvSpPr>
          <a:spLocks noChangeAspect="1" noChangeArrowheads="1"/>
        </xdr:cNvSpPr>
      </xdr:nvSpPr>
      <xdr:spPr bwMode="auto">
        <a:xfrm>
          <a:off x="981170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20</xdr:row>
      <xdr:rowOff>0</xdr:rowOff>
    </xdr:from>
    <xdr:ext cx="304800" cy="304800"/>
    <xdr:sp macro="" textlink="">
      <xdr:nvSpPr>
        <xdr:cNvPr id="317" name="AutoShape 17" descr="Germany"/>
        <xdr:cNvSpPr>
          <a:spLocks noChangeAspect="1" noChangeArrowheads="1"/>
        </xdr:cNvSpPr>
      </xdr:nvSpPr>
      <xdr:spPr bwMode="auto">
        <a:xfrm>
          <a:off x="98117025"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21</xdr:row>
      <xdr:rowOff>0</xdr:rowOff>
    </xdr:from>
    <xdr:ext cx="304800" cy="304800"/>
    <xdr:sp macro="" textlink="">
      <xdr:nvSpPr>
        <xdr:cNvPr id="318" name="AutoShape 18" descr="Greece"/>
        <xdr:cNvSpPr>
          <a:spLocks noChangeAspect="1" noChangeArrowheads="1"/>
        </xdr:cNvSpPr>
      </xdr:nvSpPr>
      <xdr:spPr bwMode="auto">
        <a:xfrm>
          <a:off x="981170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22</xdr:row>
      <xdr:rowOff>0</xdr:rowOff>
    </xdr:from>
    <xdr:ext cx="304800" cy="304800"/>
    <xdr:sp macro="" textlink="">
      <xdr:nvSpPr>
        <xdr:cNvPr id="319" name="AutoShape 19" descr="Hungary"/>
        <xdr:cNvSpPr>
          <a:spLocks noChangeAspect="1" noChangeArrowheads="1"/>
        </xdr:cNvSpPr>
      </xdr:nvSpPr>
      <xdr:spPr bwMode="auto">
        <a:xfrm>
          <a:off x="98117025" y="419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21</xdr:row>
      <xdr:rowOff>0</xdr:rowOff>
    </xdr:from>
    <xdr:ext cx="304800" cy="304800"/>
    <xdr:sp macro="" textlink="">
      <xdr:nvSpPr>
        <xdr:cNvPr id="320" name="AutoShape 18" descr="Greece"/>
        <xdr:cNvSpPr>
          <a:spLocks noChangeAspect="1" noChangeArrowheads="1"/>
        </xdr:cNvSpPr>
      </xdr:nvSpPr>
      <xdr:spPr bwMode="auto">
        <a:xfrm>
          <a:off x="981170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22</xdr:row>
      <xdr:rowOff>0</xdr:rowOff>
    </xdr:from>
    <xdr:ext cx="304800" cy="304800"/>
    <xdr:sp macro="" textlink="">
      <xdr:nvSpPr>
        <xdr:cNvPr id="321" name="AutoShape 19" descr="Hungary"/>
        <xdr:cNvSpPr>
          <a:spLocks noChangeAspect="1" noChangeArrowheads="1"/>
        </xdr:cNvSpPr>
      </xdr:nvSpPr>
      <xdr:spPr bwMode="auto">
        <a:xfrm>
          <a:off x="98117025" y="419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23</xdr:row>
      <xdr:rowOff>0</xdr:rowOff>
    </xdr:from>
    <xdr:ext cx="304800" cy="304800"/>
    <xdr:sp macro="" textlink="">
      <xdr:nvSpPr>
        <xdr:cNvPr id="322" name="AutoShape 20" descr="Iceland"/>
        <xdr:cNvSpPr>
          <a:spLocks noChangeAspect="1" noChangeArrowheads="1"/>
        </xdr:cNvSpPr>
      </xdr:nvSpPr>
      <xdr:spPr bwMode="auto">
        <a:xfrm>
          <a:off x="98117025"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22</xdr:row>
      <xdr:rowOff>0</xdr:rowOff>
    </xdr:from>
    <xdr:ext cx="304800" cy="304800"/>
    <xdr:sp macro="" textlink="">
      <xdr:nvSpPr>
        <xdr:cNvPr id="323" name="AutoShape 19" descr="Hungary"/>
        <xdr:cNvSpPr>
          <a:spLocks noChangeAspect="1" noChangeArrowheads="1"/>
        </xdr:cNvSpPr>
      </xdr:nvSpPr>
      <xdr:spPr bwMode="auto">
        <a:xfrm>
          <a:off x="98117025" y="419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23</xdr:row>
      <xdr:rowOff>0</xdr:rowOff>
    </xdr:from>
    <xdr:ext cx="304800" cy="304800"/>
    <xdr:sp macro="" textlink="">
      <xdr:nvSpPr>
        <xdr:cNvPr id="324" name="AutoShape 20" descr="Iceland"/>
        <xdr:cNvSpPr>
          <a:spLocks noChangeAspect="1" noChangeArrowheads="1"/>
        </xdr:cNvSpPr>
      </xdr:nvSpPr>
      <xdr:spPr bwMode="auto">
        <a:xfrm>
          <a:off x="98117025"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24</xdr:row>
      <xdr:rowOff>0</xdr:rowOff>
    </xdr:from>
    <xdr:ext cx="304800" cy="304800"/>
    <xdr:sp macro="" textlink="">
      <xdr:nvSpPr>
        <xdr:cNvPr id="325" name="AutoShape 21" descr="India"/>
        <xdr:cNvSpPr>
          <a:spLocks noChangeAspect="1" noChangeArrowheads="1"/>
        </xdr:cNvSpPr>
      </xdr:nvSpPr>
      <xdr:spPr bwMode="auto">
        <a:xfrm>
          <a:off x="98117025"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23</xdr:row>
      <xdr:rowOff>0</xdr:rowOff>
    </xdr:from>
    <xdr:ext cx="304800" cy="304800"/>
    <xdr:sp macro="" textlink="">
      <xdr:nvSpPr>
        <xdr:cNvPr id="326" name="AutoShape 20" descr="Iceland"/>
        <xdr:cNvSpPr>
          <a:spLocks noChangeAspect="1" noChangeArrowheads="1"/>
        </xdr:cNvSpPr>
      </xdr:nvSpPr>
      <xdr:spPr bwMode="auto">
        <a:xfrm>
          <a:off x="98117025"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24</xdr:row>
      <xdr:rowOff>0</xdr:rowOff>
    </xdr:from>
    <xdr:ext cx="304800" cy="304800"/>
    <xdr:sp macro="" textlink="">
      <xdr:nvSpPr>
        <xdr:cNvPr id="327" name="AutoShape 21" descr="India"/>
        <xdr:cNvSpPr>
          <a:spLocks noChangeAspect="1" noChangeArrowheads="1"/>
        </xdr:cNvSpPr>
      </xdr:nvSpPr>
      <xdr:spPr bwMode="auto">
        <a:xfrm>
          <a:off x="98117025"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25</xdr:row>
      <xdr:rowOff>0</xdr:rowOff>
    </xdr:from>
    <xdr:ext cx="304800" cy="304800"/>
    <xdr:sp macro="" textlink="">
      <xdr:nvSpPr>
        <xdr:cNvPr id="328" name="AutoShape 22" descr="Ireland"/>
        <xdr:cNvSpPr>
          <a:spLocks noChangeAspect="1" noChangeArrowheads="1"/>
        </xdr:cNvSpPr>
      </xdr:nvSpPr>
      <xdr:spPr bwMode="auto">
        <a:xfrm>
          <a:off x="98117025" y="47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24</xdr:row>
      <xdr:rowOff>0</xdr:rowOff>
    </xdr:from>
    <xdr:ext cx="304800" cy="304800"/>
    <xdr:sp macro="" textlink="">
      <xdr:nvSpPr>
        <xdr:cNvPr id="329" name="AutoShape 21" descr="India"/>
        <xdr:cNvSpPr>
          <a:spLocks noChangeAspect="1" noChangeArrowheads="1"/>
        </xdr:cNvSpPr>
      </xdr:nvSpPr>
      <xdr:spPr bwMode="auto">
        <a:xfrm>
          <a:off x="98117025" y="457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25</xdr:row>
      <xdr:rowOff>0</xdr:rowOff>
    </xdr:from>
    <xdr:ext cx="304800" cy="304800"/>
    <xdr:sp macro="" textlink="">
      <xdr:nvSpPr>
        <xdr:cNvPr id="330" name="AutoShape 22" descr="Ireland"/>
        <xdr:cNvSpPr>
          <a:spLocks noChangeAspect="1" noChangeArrowheads="1"/>
        </xdr:cNvSpPr>
      </xdr:nvSpPr>
      <xdr:spPr bwMode="auto">
        <a:xfrm>
          <a:off x="98117025" y="47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26</xdr:row>
      <xdr:rowOff>0</xdr:rowOff>
    </xdr:from>
    <xdr:ext cx="304800" cy="304800"/>
    <xdr:sp macro="" textlink="">
      <xdr:nvSpPr>
        <xdr:cNvPr id="331" name="AutoShape 23" descr="Israel"/>
        <xdr:cNvSpPr>
          <a:spLocks noChangeAspect="1" noChangeArrowheads="1"/>
        </xdr:cNvSpPr>
      </xdr:nvSpPr>
      <xdr:spPr bwMode="auto">
        <a:xfrm>
          <a:off x="98117025"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25</xdr:row>
      <xdr:rowOff>0</xdr:rowOff>
    </xdr:from>
    <xdr:ext cx="304800" cy="304800"/>
    <xdr:sp macro="" textlink="">
      <xdr:nvSpPr>
        <xdr:cNvPr id="332" name="AutoShape 22" descr="Ireland"/>
        <xdr:cNvSpPr>
          <a:spLocks noChangeAspect="1" noChangeArrowheads="1"/>
        </xdr:cNvSpPr>
      </xdr:nvSpPr>
      <xdr:spPr bwMode="auto">
        <a:xfrm>
          <a:off x="98117025" y="47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26</xdr:row>
      <xdr:rowOff>0</xdr:rowOff>
    </xdr:from>
    <xdr:ext cx="304800" cy="304800"/>
    <xdr:sp macro="" textlink="">
      <xdr:nvSpPr>
        <xdr:cNvPr id="333" name="AutoShape 23" descr="Israel"/>
        <xdr:cNvSpPr>
          <a:spLocks noChangeAspect="1" noChangeArrowheads="1"/>
        </xdr:cNvSpPr>
      </xdr:nvSpPr>
      <xdr:spPr bwMode="auto">
        <a:xfrm>
          <a:off x="98117025"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27</xdr:row>
      <xdr:rowOff>0</xdr:rowOff>
    </xdr:from>
    <xdr:ext cx="304800" cy="304800"/>
    <xdr:sp macro="" textlink="">
      <xdr:nvSpPr>
        <xdr:cNvPr id="334" name="AutoShape 24" descr="Italy"/>
        <xdr:cNvSpPr>
          <a:spLocks noChangeAspect="1" noChangeArrowheads="1"/>
        </xdr:cNvSpPr>
      </xdr:nvSpPr>
      <xdr:spPr bwMode="auto">
        <a:xfrm>
          <a:off x="98117025"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26</xdr:row>
      <xdr:rowOff>0</xdr:rowOff>
    </xdr:from>
    <xdr:ext cx="304800" cy="304800"/>
    <xdr:sp macro="" textlink="">
      <xdr:nvSpPr>
        <xdr:cNvPr id="335" name="AutoShape 23" descr="Israel"/>
        <xdr:cNvSpPr>
          <a:spLocks noChangeAspect="1" noChangeArrowheads="1"/>
        </xdr:cNvSpPr>
      </xdr:nvSpPr>
      <xdr:spPr bwMode="auto">
        <a:xfrm>
          <a:off x="98117025"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27</xdr:row>
      <xdr:rowOff>0</xdr:rowOff>
    </xdr:from>
    <xdr:ext cx="304800" cy="304800"/>
    <xdr:sp macro="" textlink="">
      <xdr:nvSpPr>
        <xdr:cNvPr id="336" name="AutoShape 24" descr="Italy"/>
        <xdr:cNvSpPr>
          <a:spLocks noChangeAspect="1" noChangeArrowheads="1"/>
        </xdr:cNvSpPr>
      </xdr:nvSpPr>
      <xdr:spPr bwMode="auto">
        <a:xfrm>
          <a:off x="98117025"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28</xdr:row>
      <xdr:rowOff>0</xdr:rowOff>
    </xdr:from>
    <xdr:ext cx="304800" cy="304800"/>
    <xdr:sp macro="" textlink="">
      <xdr:nvSpPr>
        <xdr:cNvPr id="337" name="AutoShape 25" descr="Kazakhstan"/>
        <xdr:cNvSpPr>
          <a:spLocks noChangeAspect="1" noChangeArrowheads="1"/>
        </xdr:cNvSpPr>
      </xdr:nvSpPr>
      <xdr:spPr bwMode="auto">
        <a:xfrm>
          <a:off x="98117025"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27</xdr:row>
      <xdr:rowOff>0</xdr:rowOff>
    </xdr:from>
    <xdr:ext cx="304800" cy="304800"/>
    <xdr:sp macro="" textlink="">
      <xdr:nvSpPr>
        <xdr:cNvPr id="338" name="AutoShape 24" descr="Italy"/>
        <xdr:cNvSpPr>
          <a:spLocks noChangeAspect="1" noChangeArrowheads="1"/>
        </xdr:cNvSpPr>
      </xdr:nvSpPr>
      <xdr:spPr bwMode="auto">
        <a:xfrm>
          <a:off x="98117025"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28</xdr:row>
      <xdr:rowOff>0</xdr:rowOff>
    </xdr:from>
    <xdr:ext cx="304800" cy="304800"/>
    <xdr:sp macro="" textlink="">
      <xdr:nvSpPr>
        <xdr:cNvPr id="339" name="AutoShape 25" descr="Kazakhstan"/>
        <xdr:cNvSpPr>
          <a:spLocks noChangeAspect="1" noChangeArrowheads="1"/>
        </xdr:cNvSpPr>
      </xdr:nvSpPr>
      <xdr:spPr bwMode="auto">
        <a:xfrm>
          <a:off x="98117025"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29</xdr:row>
      <xdr:rowOff>0</xdr:rowOff>
    </xdr:from>
    <xdr:ext cx="304800" cy="304800"/>
    <xdr:sp macro="" textlink="">
      <xdr:nvSpPr>
        <xdr:cNvPr id="340" name="AutoShape 26" descr="Kuwait"/>
        <xdr:cNvSpPr>
          <a:spLocks noChangeAspect="1" noChangeArrowheads="1"/>
        </xdr:cNvSpPr>
      </xdr:nvSpPr>
      <xdr:spPr bwMode="auto">
        <a:xfrm>
          <a:off x="98117025"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28</xdr:row>
      <xdr:rowOff>0</xdr:rowOff>
    </xdr:from>
    <xdr:ext cx="304800" cy="304800"/>
    <xdr:sp macro="" textlink="">
      <xdr:nvSpPr>
        <xdr:cNvPr id="341" name="AutoShape 25" descr="Kazakhstan"/>
        <xdr:cNvSpPr>
          <a:spLocks noChangeAspect="1" noChangeArrowheads="1"/>
        </xdr:cNvSpPr>
      </xdr:nvSpPr>
      <xdr:spPr bwMode="auto">
        <a:xfrm>
          <a:off x="98117025" y="533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29</xdr:row>
      <xdr:rowOff>0</xdr:rowOff>
    </xdr:from>
    <xdr:ext cx="304800" cy="304800"/>
    <xdr:sp macro="" textlink="">
      <xdr:nvSpPr>
        <xdr:cNvPr id="342" name="AutoShape 26" descr="Kuwait"/>
        <xdr:cNvSpPr>
          <a:spLocks noChangeAspect="1" noChangeArrowheads="1"/>
        </xdr:cNvSpPr>
      </xdr:nvSpPr>
      <xdr:spPr bwMode="auto">
        <a:xfrm>
          <a:off x="98117025"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30</xdr:row>
      <xdr:rowOff>0</xdr:rowOff>
    </xdr:from>
    <xdr:ext cx="304800" cy="304800"/>
    <xdr:sp macro="" textlink="">
      <xdr:nvSpPr>
        <xdr:cNvPr id="343" name="AutoShape 27" descr="Kyrgyzstan"/>
        <xdr:cNvSpPr>
          <a:spLocks noChangeAspect="1" noChangeArrowheads="1"/>
        </xdr:cNvSpPr>
      </xdr:nvSpPr>
      <xdr:spPr bwMode="auto">
        <a:xfrm>
          <a:off x="98117025"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29</xdr:row>
      <xdr:rowOff>0</xdr:rowOff>
    </xdr:from>
    <xdr:ext cx="304800" cy="304800"/>
    <xdr:sp macro="" textlink="">
      <xdr:nvSpPr>
        <xdr:cNvPr id="344" name="AutoShape 26" descr="Kuwait"/>
        <xdr:cNvSpPr>
          <a:spLocks noChangeAspect="1" noChangeArrowheads="1"/>
        </xdr:cNvSpPr>
      </xdr:nvSpPr>
      <xdr:spPr bwMode="auto">
        <a:xfrm>
          <a:off x="98117025"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30</xdr:row>
      <xdr:rowOff>0</xdr:rowOff>
    </xdr:from>
    <xdr:ext cx="304800" cy="304800"/>
    <xdr:sp macro="" textlink="">
      <xdr:nvSpPr>
        <xdr:cNvPr id="345" name="AutoShape 27" descr="Kyrgyzstan"/>
        <xdr:cNvSpPr>
          <a:spLocks noChangeAspect="1" noChangeArrowheads="1"/>
        </xdr:cNvSpPr>
      </xdr:nvSpPr>
      <xdr:spPr bwMode="auto">
        <a:xfrm>
          <a:off x="98117025"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31</xdr:row>
      <xdr:rowOff>0</xdr:rowOff>
    </xdr:from>
    <xdr:ext cx="304800" cy="304800"/>
    <xdr:sp macro="" textlink="">
      <xdr:nvSpPr>
        <xdr:cNvPr id="346" name="AutoShape 28" descr="Latvia"/>
        <xdr:cNvSpPr>
          <a:spLocks noChangeAspect="1" noChangeArrowheads="1"/>
        </xdr:cNvSpPr>
      </xdr:nvSpPr>
      <xdr:spPr bwMode="auto">
        <a:xfrm>
          <a:off x="98117025" y="59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30</xdr:row>
      <xdr:rowOff>0</xdr:rowOff>
    </xdr:from>
    <xdr:ext cx="304800" cy="304800"/>
    <xdr:sp macro="" textlink="">
      <xdr:nvSpPr>
        <xdr:cNvPr id="347" name="AutoShape 27" descr="Kyrgyzstan"/>
        <xdr:cNvSpPr>
          <a:spLocks noChangeAspect="1" noChangeArrowheads="1"/>
        </xdr:cNvSpPr>
      </xdr:nvSpPr>
      <xdr:spPr bwMode="auto">
        <a:xfrm>
          <a:off x="98117025"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31</xdr:row>
      <xdr:rowOff>0</xdr:rowOff>
    </xdr:from>
    <xdr:ext cx="304800" cy="304800"/>
    <xdr:sp macro="" textlink="">
      <xdr:nvSpPr>
        <xdr:cNvPr id="348" name="AutoShape 28" descr="Latvia"/>
        <xdr:cNvSpPr>
          <a:spLocks noChangeAspect="1" noChangeArrowheads="1"/>
        </xdr:cNvSpPr>
      </xdr:nvSpPr>
      <xdr:spPr bwMode="auto">
        <a:xfrm>
          <a:off x="98117025" y="59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32</xdr:row>
      <xdr:rowOff>0</xdr:rowOff>
    </xdr:from>
    <xdr:ext cx="304800" cy="304800"/>
    <xdr:sp macro="" textlink="">
      <xdr:nvSpPr>
        <xdr:cNvPr id="349" name="AutoShape 29" descr="Luxembourg"/>
        <xdr:cNvSpPr>
          <a:spLocks noChangeAspect="1" noChangeArrowheads="1"/>
        </xdr:cNvSpPr>
      </xdr:nvSpPr>
      <xdr:spPr bwMode="auto">
        <a:xfrm>
          <a:off x="98117025" y="609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31</xdr:row>
      <xdr:rowOff>0</xdr:rowOff>
    </xdr:from>
    <xdr:ext cx="304800" cy="304800"/>
    <xdr:sp macro="" textlink="">
      <xdr:nvSpPr>
        <xdr:cNvPr id="350" name="AutoShape 28" descr="Latvia"/>
        <xdr:cNvSpPr>
          <a:spLocks noChangeAspect="1" noChangeArrowheads="1"/>
        </xdr:cNvSpPr>
      </xdr:nvSpPr>
      <xdr:spPr bwMode="auto">
        <a:xfrm>
          <a:off x="98117025" y="59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32</xdr:row>
      <xdr:rowOff>0</xdr:rowOff>
    </xdr:from>
    <xdr:ext cx="304800" cy="304800"/>
    <xdr:sp macro="" textlink="">
      <xdr:nvSpPr>
        <xdr:cNvPr id="351" name="AutoShape 29" descr="Luxembourg"/>
        <xdr:cNvSpPr>
          <a:spLocks noChangeAspect="1" noChangeArrowheads="1"/>
        </xdr:cNvSpPr>
      </xdr:nvSpPr>
      <xdr:spPr bwMode="auto">
        <a:xfrm>
          <a:off x="98117025" y="609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33</xdr:row>
      <xdr:rowOff>0</xdr:rowOff>
    </xdr:from>
    <xdr:ext cx="304800" cy="304800"/>
    <xdr:sp macro="" textlink="">
      <xdr:nvSpPr>
        <xdr:cNvPr id="352" name="AutoShape 30" descr="Malta"/>
        <xdr:cNvSpPr>
          <a:spLocks noChangeAspect="1" noChangeArrowheads="1"/>
        </xdr:cNvSpPr>
      </xdr:nvSpPr>
      <xdr:spPr bwMode="auto">
        <a:xfrm>
          <a:off x="98117025" y="628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32</xdr:row>
      <xdr:rowOff>0</xdr:rowOff>
    </xdr:from>
    <xdr:ext cx="304800" cy="304800"/>
    <xdr:sp macro="" textlink="">
      <xdr:nvSpPr>
        <xdr:cNvPr id="353" name="AutoShape 29" descr="Luxembourg"/>
        <xdr:cNvSpPr>
          <a:spLocks noChangeAspect="1" noChangeArrowheads="1"/>
        </xdr:cNvSpPr>
      </xdr:nvSpPr>
      <xdr:spPr bwMode="auto">
        <a:xfrm>
          <a:off x="98117025" y="609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33</xdr:row>
      <xdr:rowOff>0</xdr:rowOff>
    </xdr:from>
    <xdr:ext cx="304800" cy="304800"/>
    <xdr:sp macro="" textlink="">
      <xdr:nvSpPr>
        <xdr:cNvPr id="354" name="AutoShape 30" descr="Malta"/>
        <xdr:cNvSpPr>
          <a:spLocks noChangeAspect="1" noChangeArrowheads="1"/>
        </xdr:cNvSpPr>
      </xdr:nvSpPr>
      <xdr:spPr bwMode="auto">
        <a:xfrm>
          <a:off x="98117025" y="628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34</xdr:row>
      <xdr:rowOff>0</xdr:rowOff>
    </xdr:from>
    <xdr:ext cx="304800" cy="304800"/>
    <xdr:sp macro="" textlink="">
      <xdr:nvSpPr>
        <xdr:cNvPr id="355" name="AutoShape 31" descr="Mexico"/>
        <xdr:cNvSpPr>
          <a:spLocks noChangeAspect="1" noChangeArrowheads="1"/>
        </xdr:cNvSpPr>
      </xdr:nvSpPr>
      <xdr:spPr bwMode="auto">
        <a:xfrm>
          <a:off x="98117025"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33</xdr:row>
      <xdr:rowOff>0</xdr:rowOff>
    </xdr:from>
    <xdr:ext cx="304800" cy="304800"/>
    <xdr:sp macro="" textlink="">
      <xdr:nvSpPr>
        <xdr:cNvPr id="356" name="AutoShape 30" descr="Malta"/>
        <xdr:cNvSpPr>
          <a:spLocks noChangeAspect="1" noChangeArrowheads="1"/>
        </xdr:cNvSpPr>
      </xdr:nvSpPr>
      <xdr:spPr bwMode="auto">
        <a:xfrm>
          <a:off x="98117025" y="628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34</xdr:row>
      <xdr:rowOff>0</xdr:rowOff>
    </xdr:from>
    <xdr:ext cx="304800" cy="304800"/>
    <xdr:sp macro="" textlink="">
      <xdr:nvSpPr>
        <xdr:cNvPr id="357" name="AutoShape 31" descr="Mexico"/>
        <xdr:cNvSpPr>
          <a:spLocks noChangeAspect="1" noChangeArrowheads="1"/>
        </xdr:cNvSpPr>
      </xdr:nvSpPr>
      <xdr:spPr bwMode="auto">
        <a:xfrm>
          <a:off x="98117025"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35</xdr:row>
      <xdr:rowOff>0</xdr:rowOff>
    </xdr:from>
    <xdr:ext cx="304800" cy="304800"/>
    <xdr:sp macro="" textlink="">
      <xdr:nvSpPr>
        <xdr:cNvPr id="358" name="AutoShape 32" descr="Moldova"/>
        <xdr:cNvSpPr>
          <a:spLocks noChangeAspect="1" noChangeArrowheads="1"/>
        </xdr:cNvSpPr>
      </xdr:nvSpPr>
      <xdr:spPr bwMode="auto">
        <a:xfrm>
          <a:off x="98117025" y="666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34</xdr:row>
      <xdr:rowOff>0</xdr:rowOff>
    </xdr:from>
    <xdr:ext cx="304800" cy="304800"/>
    <xdr:sp macro="" textlink="">
      <xdr:nvSpPr>
        <xdr:cNvPr id="359" name="AutoShape 31" descr="Mexico"/>
        <xdr:cNvSpPr>
          <a:spLocks noChangeAspect="1" noChangeArrowheads="1"/>
        </xdr:cNvSpPr>
      </xdr:nvSpPr>
      <xdr:spPr bwMode="auto">
        <a:xfrm>
          <a:off x="98117025"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35</xdr:row>
      <xdr:rowOff>0</xdr:rowOff>
    </xdr:from>
    <xdr:ext cx="304800" cy="304800"/>
    <xdr:sp macro="" textlink="">
      <xdr:nvSpPr>
        <xdr:cNvPr id="360" name="AutoShape 32" descr="Moldova"/>
        <xdr:cNvSpPr>
          <a:spLocks noChangeAspect="1" noChangeArrowheads="1"/>
        </xdr:cNvSpPr>
      </xdr:nvSpPr>
      <xdr:spPr bwMode="auto">
        <a:xfrm>
          <a:off x="98117025" y="666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36</xdr:row>
      <xdr:rowOff>0</xdr:rowOff>
    </xdr:from>
    <xdr:ext cx="304800" cy="304800"/>
    <xdr:sp macro="" textlink="">
      <xdr:nvSpPr>
        <xdr:cNvPr id="361" name="AutoShape 33" descr="Morocco"/>
        <xdr:cNvSpPr>
          <a:spLocks noChangeAspect="1" noChangeArrowheads="1"/>
        </xdr:cNvSpPr>
      </xdr:nvSpPr>
      <xdr:spPr bwMode="auto">
        <a:xfrm>
          <a:off x="981170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35</xdr:row>
      <xdr:rowOff>0</xdr:rowOff>
    </xdr:from>
    <xdr:ext cx="304800" cy="304800"/>
    <xdr:sp macro="" textlink="">
      <xdr:nvSpPr>
        <xdr:cNvPr id="362" name="AutoShape 32" descr="Moldova"/>
        <xdr:cNvSpPr>
          <a:spLocks noChangeAspect="1" noChangeArrowheads="1"/>
        </xdr:cNvSpPr>
      </xdr:nvSpPr>
      <xdr:spPr bwMode="auto">
        <a:xfrm>
          <a:off x="98117025" y="666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36</xdr:row>
      <xdr:rowOff>0</xdr:rowOff>
    </xdr:from>
    <xdr:ext cx="304800" cy="304800"/>
    <xdr:sp macro="" textlink="">
      <xdr:nvSpPr>
        <xdr:cNvPr id="363" name="AutoShape 33" descr="Morocco"/>
        <xdr:cNvSpPr>
          <a:spLocks noChangeAspect="1" noChangeArrowheads="1"/>
        </xdr:cNvSpPr>
      </xdr:nvSpPr>
      <xdr:spPr bwMode="auto">
        <a:xfrm>
          <a:off x="981170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37</xdr:row>
      <xdr:rowOff>0</xdr:rowOff>
    </xdr:from>
    <xdr:ext cx="304800" cy="304800"/>
    <xdr:sp macro="" textlink="">
      <xdr:nvSpPr>
        <xdr:cNvPr id="364" name="AutoShape 34" descr="Netherlands"/>
        <xdr:cNvSpPr>
          <a:spLocks noChangeAspect="1" noChangeArrowheads="1"/>
        </xdr:cNvSpPr>
      </xdr:nvSpPr>
      <xdr:spPr bwMode="auto">
        <a:xfrm>
          <a:off x="98117025" y="70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36</xdr:row>
      <xdr:rowOff>0</xdr:rowOff>
    </xdr:from>
    <xdr:ext cx="304800" cy="304800"/>
    <xdr:sp macro="" textlink="">
      <xdr:nvSpPr>
        <xdr:cNvPr id="365" name="AutoShape 33" descr="Morocco"/>
        <xdr:cNvSpPr>
          <a:spLocks noChangeAspect="1" noChangeArrowheads="1"/>
        </xdr:cNvSpPr>
      </xdr:nvSpPr>
      <xdr:spPr bwMode="auto">
        <a:xfrm>
          <a:off x="981170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37</xdr:row>
      <xdr:rowOff>0</xdr:rowOff>
    </xdr:from>
    <xdr:ext cx="304800" cy="304800"/>
    <xdr:sp macro="" textlink="">
      <xdr:nvSpPr>
        <xdr:cNvPr id="366" name="AutoShape 34" descr="Netherlands"/>
        <xdr:cNvSpPr>
          <a:spLocks noChangeAspect="1" noChangeArrowheads="1"/>
        </xdr:cNvSpPr>
      </xdr:nvSpPr>
      <xdr:spPr bwMode="auto">
        <a:xfrm>
          <a:off x="98117025" y="70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38</xdr:row>
      <xdr:rowOff>0</xdr:rowOff>
    </xdr:from>
    <xdr:ext cx="304800" cy="304800"/>
    <xdr:sp macro="" textlink="">
      <xdr:nvSpPr>
        <xdr:cNvPr id="367" name="AutoShape 35" descr="Norway"/>
        <xdr:cNvSpPr>
          <a:spLocks noChangeAspect="1" noChangeArrowheads="1"/>
        </xdr:cNvSpPr>
      </xdr:nvSpPr>
      <xdr:spPr bwMode="auto">
        <a:xfrm>
          <a:off x="98117025" y="72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37</xdr:row>
      <xdr:rowOff>0</xdr:rowOff>
    </xdr:from>
    <xdr:ext cx="304800" cy="304800"/>
    <xdr:sp macro="" textlink="">
      <xdr:nvSpPr>
        <xdr:cNvPr id="368" name="AutoShape 34" descr="Netherlands"/>
        <xdr:cNvSpPr>
          <a:spLocks noChangeAspect="1" noChangeArrowheads="1"/>
        </xdr:cNvSpPr>
      </xdr:nvSpPr>
      <xdr:spPr bwMode="auto">
        <a:xfrm>
          <a:off x="98117025" y="70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38</xdr:row>
      <xdr:rowOff>0</xdr:rowOff>
    </xdr:from>
    <xdr:ext cx="304800" cy="304800"/>
    <xdr:sp macro="" textlink="">
      <xdr:nvSpPr>
        <xdr:cNvPr id="369" name="AutoShape 35" descr="Norway"/>
        <xdr:cNvSpPr>
          <a:spLocks noChangeAspect="1" noChangeArrowheads="1"/>
        </xdr:cNvSpPr>
      </xdr:nvSpPr>
      <xdr:spPr bwMode="auto">
        <a:xfrm>
          <a:off x="98117025" y="72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39</xdr:row>
      <xdr:rowOff>0</xdr:rowOff>
    </xdr:from>
    <xdr:ext cx="304800" cy="304800"/>
    <xdr:sp macro="" textlink="">
      <xdr:nvSpPr>
        <xdr:cNvPr id="370" name="AutoShape 36" descr="Poland"/>
        <xdr:cNvSpPr>
          <a:spLocks noChangeAspect="1" noChangeArrowheads="1"/>
        </xdr:cNvSpPr>
      </xdr:nvSpPr>
      <xdr:spPr bwMode="auto">
        <a:xfrm>
          <a:off x="98117025" y="742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38</xdr:row>
      <xdr:rowOff>0</xdr:rowOff>
    </xdr:from>
    <xdr:ext cx="304800" cy="304800"/>
    <xdr:sp macro="" textlink="">
      <xdr:nvSpPr>
        <xdr:cNvPr id="371" name="AutoShape 35" descr="Norway"/>
        <xdr:cNvSpPr>
          <a:spLocks noChangeAspect="1" noChangeArrowheads="1"/>
        </xdr:cNvSpPr>
      </xdr:nvSpPr>
      <xdr:spPr bwMode="auto">
        <a:xfrm>
          <a:off x="98117025" y="72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39</xdr:row>
      <xdr:rowOff>0</xdr:rowOff>
    </xdr:from>
    <xdr:ext cx="304800" cy="304800"/>
    <xdr:sp macro="" textlink="">
      <xdr:nvSpPr>
        <xdr:cNvPr id="372" name="AutoShape 36" descr="Poland"/>
        <xdr:cNvSpPr>
          <a:spLocks noChangeAspect="1" noChangeArrowheads="1"/>
        </xdr:cNvSpPr>
      </xdr:nvSpPr>
      <xdr:spPr bwMode="auto">
        <a:xfrm>
          <a:off x="98117025" y="742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40</xdr:row>
      <xdr:rowOff>0</xdr:rowOff>
    </xdr:from>
    <xdr:ext cx="304800" cy="304800"/>
    <xdr:sp macro="" textlink="">
      <xdr:nvSpPr>
        <xdr:cNvPr id="373" name="AutoShape 37" descr="Portugal"/>
        <xdr:cNvSpPr>
          <a:spLocks noChangeAspect="1" noChangeArrowheads="1"/>
        </xdr:cNvSpPr>
      </xdr:nvSpPr>
      <xdr:spPr bwMode="auto">
        <a:xfrm>
          <a:off x="98117025" y="762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39</xdr:row>
      <xdr:rowOff>0</xdr:rowOff>
    </xdr:from>
    <xdr:ext cx="304800" cy="304800"/>
    <xdr:sp macro="" textlink="">
      <xdr:nvSpPr>
        <xdr:cNvPr id="374" name="AutoShape 36" descr="Poland"/>
        <xdr:cNvSpPr>
          <a:spLocks noChangeAspect="1" noChangeArrowheads="1"/>
        </xdr:cNvSpPr>
      </xdr:nvSpPr>
      <xdr:spPr bwMode="auto">
        <a:xfrm>
          <a:off x="98117025" y="742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40</xdr:row>
      <xdr:rowOff>0</xdr:rowOff>
    </xdr:from>
    <xdr:ext cx="304800" cy="304800"/>
    <xdr:sp macro="" textlink="">
      <xdr:nvSpPr>
        <xdr:cNvPr id="375" name="AutoShape 37" descr="Portugal"/>
        <xdr:cNvSpPr>
          <a:spLocks noChangeAspect="1" noChangeArrowheads="1"/>
        </xdr:cNvSpPr>
      </xdr:nvSpPr>
      <xdr:spPr bwMode="auto">
        <a:xfrm>
          <a:off x="98117025" y="762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41</xdr:row>
      <xdr:rowOff>0</xdr:rowOff>
    </xdr:from>
    <xdr:ext cx="304800" cy="304800"/>
    <xdr:sp macro="" textlink="">
      <xdr:nvSpPr>
        <xdr:cNvPr id="376" name="AutoShape 38" descr="Romania"/>
        <xdr:cNvSpPr>
          <a:spLocks noChangeAspect="1" noChangeArrowheads="1"/>
        </xdr:cNvSpPr>
      </xdr:nvSpPr>
      <xdr:spPr bwMode="auto">
        <a:xfrm>
          <a:off x="98117025" y="781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40</xdr:row>
      <xdr:rowOff>0</xdr:rowOff>
    </xdr:from>
    <xdr:ext cx="304800" cy="304800"/>
    <xdr:sp macro="" textlink="">
      <xdr:nvSpPr>
        <xdr:cNvPr id="377" name="AutoShape 37" descr="Portugal"/>
        <xdr:cNvSpPr>
          <a:spLocks noChangeAspect="1" noChangeArrowheads="1"/>
        </xdr:cNvSpPr>
      </xdr:nvSpPr>
      <xdr:spPr bwMode="auto">
        <a:xfrm>
          <a:off x="98117025" y="762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41</xdr:row>
      <xdr:rowOff>0</xdr:rowOff>
    </xdr:from>
    <xdr:ext cx="304800" cy="304800"/>
    <xdr:sp macro="" textlink="">
      <xdr:nvSpPr>
        <xdr:cNvPr id="378" name="AutoShape 38" descr="Romania"/>
        <xdr:cNvSpPr>
          <a:spLocks noChangeAspect="1" noChangeArrowheads="1"/>
        </xdr:cNvSpPr>
      </xdr:nvSpPr>
      <xdr:spPr bwMode="auto">
        <a:xfrm>
          <a:off x="98117025" y="781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42</xdr:row>
      <xdr:rowOff>0</xdr:rowOff>
    </xdr:from>
    <xdr:ext cx="304800" cy="304800"/>
    <xdr:sp macro="" textlink="">
      <xdr:nvSpPr>
        <xdr:cNvPr id="379" name="AutoShape 39" descr="Russia"/>
        <xdr:cNvSpPr>
          <a:spLocks noChangeAspect="1" noChangeArrowheads="1"/>
        </xdr:cNvSpPr>
      </xdr:nvSpPr>
      <xdr:spPr bwMode="auto">
        <a:xfrm>
          <a:off x="9811702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41</xdr:row>
      <xdr:rowOff>0</xdr:rowOff>
    </xdr:from>
    <xdr:ext cx="304800" cy="304800"/>
    <xdr:sp macro="" textlink="">
      <xdr:nvSpPr>
        <xdr:cNvPr id="380" name="AutoShape 38" descr="Romania"/>
        <xdr:cNvSpPr>
          <a:spLocks noChangeAspect="1" noChangeArrowheads="1"/>
        </xdr:cNvSpPr>
      </xdr:nvSpPr>
      <xdr:spPr bwMode="auto">
        <a:xfrm>
          <a:off x="98117025" y="781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42</xdr:row>
      <xdr:rowOff>0</xdr:rowOff>
    </xdr:from>
    <xdr:ext cx="304800" cy="304800"/>
    <xdr:sp macro="" textlink="">
      <xdr:nvSpPr>
        <xdr:cNvPr id="381" name="AutoShape 39" descr="Russia"/>
        <xdr:cNvSpPr>
          <a:spLocks noChangeAspect="1" noChangeArrowheads="1"/>
        </xdr:cNvSpPr>
      </xdr:nvSpPr>
      <xdr:spPr bwMode="auto">
        <a:xfrm>
          <a:off x="9811702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43</xdr:row>
      <xdr:rowOff>0</xdr:rowOff>
    </xdr:from>
    <xdr:ext cx="304800" cy="304800"/>
    <xdr:sp macro="" textlink="">
      <xdr:nvSpPr>
        <xdr:cNvPr id="382" name="AutoShape 40" descr="Serbia"/>
        <xdr:cNvSpPr>
          <a:spLocks noChangeAspect="1" noChangeArrowheads="1"/>
        </xdr:cNvSpPr>
      </xdr:nvSpPr>
      <xdr:spPr bwMode="auto">
        <a:xfrm>
          <a:off x="98117025" y="819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42</xdr:row>
      <xdr:rowOff>0</xdr:rowOff>
    </xdr:from>
    <xdr:ext cx="304800" cy="304800"/>
    <xdr:sp macro="" textlink="">
      <xdr:nvSpPr>
        <xdr:cNvPr id="383" name="AutoShape 39" descr="Russia"/>
        <xdr:cNvSpPr>
          <a:spLocks noChangeAspect="1" noChangeArrowheads="1"/>
        </xdr:cNvSpPr>
      </xdr:nvSpPr>
      <xdr:spPr bwMode="auto">
        <a:xfrm>
          <a:off x="9811702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43</xdr:row>
      <xdr:rowOff>0</xdr:rowOff>
    </xdr:from>
    <xdr:ext cx="304800" cy="304800"/>
    <xdr:sp macro="" textlink="">
      <xdr:nvSpPr>
        <xdr:cNvPr id="384" name="AutoShape 40" descr="Serbia"/>
        <xdr:cNvSpPr>
          <a:spLocks noChangeAspect="1" noChangeArrowheads="1"/>
        </xdr:cNvSpPr>
      </xdr:nvSpPr>
      <xdr:spPr bwMode="auto">
        <a:xfrm>
          <a:off x="98117025" y="819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44</xdr:row>
      <xdr:rowOff>0</xdr:rowOff>
    </xdr:from>
    <xdr:ext cx="304800" cy="304800"/>
    <xdr:sp macro="" textlink="">
      <xdr:nvSpPr>
        <xdr:cNvPr id="385" name="AutoShape 41" descr="Singapore"/>
        <xdr:cNvSpPr>
          <a:spLocks noChangeAspect="1" noChangeArrowheads="1"/>
        </xdr:cNvSpPr>
      </xdr:nvSpPr>
      <xdr:spPr bwMode="auto">
        <a:xfrm>
          <a:off x="98117025" y="838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43</xdr:row>
      <xdr:rowOff>0</xdr:rowOff>
    </xdr:from>
    <xdr:ext cx="304800" cy="304800"/>
    <xdr:sp macro="" textlink="">
      <xdr:nvSpPr>
        <xdr:cNvPr id="386" name="AutoShape 40" descr="Serbia"/>
        <xdr:cNvSpPr>
          <a:spLocks noChangeAspect="1" noChangeArrowheads="1"/>
        </xdr:cNvSpPr>
      </xdr:nvSpPr>
      <xdr:spPr bwMode="auto">
        <a:xfrm>
          <a:off x="98117025" y="819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44</xdr:row>
      <xdr:rowOff>0</xdr:rowOff>
    </xdr:from>
    <xdr:ext cx="304800" cy="304800"/>
    <xdr:sp macro="" textlink="">
      <xdr:nvSpPr>
        <xdr:cNvPr id="400" name="AutoShape 41" descr="Singapore"/>
        <xdr:cNvSpPr>
          <a:spLocks noChangeAspect="1" noChangeArrowheads="1"/>
        </xdr:cNvSpPr>
      </xdr:nvSpPr>
      <xdr:spPr bwMode="auto">
        <a:xfrm>
          <a:off x="98117025" y="838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45</xdr:row>
      <xdr:rowOff>0</xdr:rowOff>
    </xdr:from>
    <xdr:ext cx="304800" cy="304800"/>
    <xdr:sp macro="" textlink="">
      <xdr:nvSpPr>
        <xdr:cNvPr id="401" name="AutoShape 42" descr="Slovakia"/>
        <xdr:cNvSpPr>
          <a:spLocks noChangeAspect="1" noChangeArrowheads="1"/>
        </xdr:cNvSpPr>
      </xdr:nvSpPr>
      <xdr:spPr bwMode="auto">
        <a:xfrm>
          <a:off x="98117025" y="8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44</xdr:row>
      <xdr:rowOff>0</xdr:rowOff>
    </xdr:from>
    <xdr:ext cx="304800" cy="304800"/>
    <xdr:sp macro="" textlink="">
      <xdr:nvSpPr>
        <xdr:cNvPr id="402" name="AutoShape 41" descr="Singapore"/>
        <xdr:cNvSpPr>
          <a:spLocks noChangeAspect="1" noChangeArrowheads="1"/>
        </xdr:cNvSpPr>
      </xdr:nvSpPr>
      <xdr:spPr bwMode="auto">
        <a:xfrm>
          <a:off x="98117025" y="838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45</xdr:row>
      <xdr:rowOff>0</xdr:rowOff>
    </xdr:from>
    <xdr:ext cx="304800" cy="304800"/>
    <xdr:sp macro="" textlink="">
      <xdr:nvSpPr>
        <xdr:cNvPr id="403" name="AutoShape 42" descr="Slovakia"/>
        <xdr:cNvSpPr>
          <a:spLocks noChangeAspect="1" noChangeArrowheads="1"/>
        </xdr:cNvSpPr>
      </xdr:nvSpPr>
      <xdr:spPr bwMode="auto">
        <a:xfrm>
          <a:off x="98117025" y="8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46</xdr:row>
      <xdr:rowOff>0</xdr:rowOff>
    </xdr:from>
    <xdr:ext cx="304800" cy="304800"/>
    <xdr:sp macro="" textlink="">
      <xdr:nvSpPr>
        <xdr:cNvPr id="404" name="AutoShape 43" descr="Slovenia"/>
        <xdr:cNvSpPr>
          <a:spLocks noChangeAspect="1" noChangeArrowheads="1"/>
        </xdr:cNvSpPr>
      </xdr:nvSpPr>
      <xdr:spPr bwMode="auto">
        <a:xfrm>
          <a:off x="98117025" y="876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45</xdr:row>
      <xdr:rowOff>0</xdr:rowOff>
    </xdr:from>
    <xdr:ext cx="304800" cy="304800"/>
    <xdr:sp macro="" textlink="">
      <xdr:nvSpPr>
        <xdr:cNvPr id="405" name="AutoShape 42" descr="Slovakia"/>
        <xdr:cNvSpPr>
          <a:spLocks noChangeAspect="1" noChangeArrowheads="1"/>
        </xdr:cNvSpPr>
      </xdr:nvSpPr>
      <xdr:spPr bwMode="auto">
        <a:xfrm>
          <a:off x="98117025" y="8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46</xdr:row>
      <xdr:rowOff>0</xdr:rowOff>
    </xdr:from>
    <xdr:ext cx="304800" cy="304800"/>
    <xdr:sp macro="" textlink="">
      <xdr:nvSpPr>
        <xdr:cNvPr id="406" name="AutoShape 43" descr="Slovenia"/>
        <xdr:cNvSpPr>
          <a:spLocks noChangeAspect="1" noChangeArrowheads="1"/>
        </xdr:cNvSpPr>
      </xdr:nvSpPr>
      <xdr:spPr bwMode="auto">
        <a:xfrm>
          <a:off x="98117025" y="876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47</xdr:row>
      <xdr:rowOff>0</xdr:rowOff>
    </xdr:from>
    <xdr:ext cx="304800" cy="304800"/>
    <xdr:sp macro="" textlink="">
      <xdr:nvSpPr>
        <xdr:cNvPr id="407" name="AutoShape 44" descr="South Korea"/>
        <xdr:cNvSpPr>
          <a:spLocks noChangeAspect="1" noChangeArrowheads="1"/>
        </xdr:cNvSpPr>
      </xdr:nvSpPr>
      <xdr:spPr bwMode="auto">
        <a:xfrm>
          <a:off x="98117025" y="895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46</xdr:row>
      <xdr:rowOff>0</xdr:rowOff>
    </xdr:from>
    <xdr:ext cx="304800" cy="304800"/>
    <xdr:sp macro="" textlink="">
      <xdr:nvSpPr>
        <xdr:cNvPr id="408" name="AutoShape 43" descr="Slovenia"/>
        <xdr:cNvSpPr>
          <a:spLocks noChangeAspect="1" noChangeArrowheads="1"/>
        </xdr:cNvSpPr>
      </xdr:nvSpPr>
      <xdr:spPr bwMode="auto">
        <a:xfrm>
          <a:off x="98117025" y="876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47</xdr:row>
      <xdr:rowOff>0</xdr:rowOff>
    </xdr:from>
    <xdr:ext cx="304800" cy="304800"/>
    <xdr:sp macro="" textlink="">
      <xdr:nvSpPr>
        <xdr:cNvPr id="409" name="AutoShape 44" descr="South Korea"/>
        <xdr:cNvSpPr>
          <a:spLocks noChangeAspect="1" noChangeArrowheads="1"/>
        </xdr:cNvSpPr>
      </xdr:nvSpPr>
      <xdr:spPr bwMode="auto">
        <a:xfrm>
          <a:off x="98117025" y="895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48</xdr:row>
      <xdr:rowOff>0</xdr:rowOff>
    </xdr:from>
    <xdr:ext cx="304800" cy="304800"/>
    <xdr:sp macro="" textlink="">
      <xdr:nvSpPr>
        <xdr:cNvPr id="410" name="AutoShape 45" descr="Spain"/>
        <xdr:cNvSpPr>
          <a:spLocks noChangeAspect="1" noChangeArrowheads="1"/>
        </xdr:cNvSpPr>
      </xdr:nvSpPr>
      <xdr:spPr bwMode="auto">
        <a:xfrm>
          <a:off x="98117025" y="914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47</xdr:row>
      <xdr:rowOff>0</xdr:rowOff>
    </xdr:from>
    <xdr:ext cx="304800" cy="304800"/>
    <xdr:sp macro="" textlink="">
      <xdr:nvSpPr>
        <xdr:cNvPr id="411" name="AutoShape 44" descr="South Korea"/>
        <xdr:cNvSpPr>
          <a:spLocks noChangeAspect="1" noChangeArrowheads="1"/>
        </xdr:cNvSpPr>
      </xdr:nvSpPr>
      <xdr:spPr bwMode="auto">
        <a:xfrm>
          <a:off x="98117025" y="895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48</xdr:row>
      <xdr:rowOff>0</xdr:rowOff>
    </xdr:from>
    <xdr:ext cx="304800" cy="304800"/>
    <xdr:sp macro="" textlink="">
      <xdr:nvSpPr>
        <xdr:cNvPr id="412" name="AutoShape 45" descr="Spain"/>
        <xdr:cNvSpPr>
          <a:spLocks noChangeAspect="1" noChangeArrowheads="1"/>
        </xdr:cNvSpPr>
      </xdr:nvSpPr>
      <xdr:spPr bwMode="auto">
        <a:xfrm>
          <a:off x="98117025" y="914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49</xdr:row>
      <xdr:rowOff>0</xdr:rowOff>
    </xdr:from>
    <xdr:ext cx="304800" cy="304800"/>
    <xdr:sp macro="" textlink="">
      <xdr:nvSpPr>
        <xdr:cNvPr id="413" name="AutoShape 46" descr="Sweden"/>
        <xdr:cNvSpPr>
          <a:spLocks noChangeAspect="1" noChangeArrowheads="1"/>
        </xdr:cNvSpPr>
      </xdr:nvSpPr>
      <xdr:spPr bwMode="auto">
        <a:xfrm>
          <a:off x="98117025" y="933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48</xdr:row>
      <xdr:rowOff>0</xdr:rowOff>
    </xdr:from>
    <xdr:ext cx="304800" cy="304800"/>
    <xdr:sp macro="" textlink="">
      <xdr:nvSpPr>
        <xdr:cNvPr id="414" name="AutoShape 45" descr="Spain"/>
        <xdr:cNvSpPr>
          <a:spLocks noChangeAspect="1" noChangeArrowheads="1"/>
        </xdr:cNvSpPr>
      </xdr:nvSpPr>
      <xdr:spPr bwMode="auto">
        <a:xfrm>
          <a:off x="98117025" y="914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49</xdr:row>
      <xdr:rowOff>0</xdr:rowOff>
    </xdr:from>
    <xdr:ext cx="304800" cy="304800"/>
    <xdr:sp macro="" textlink="">
      <xdr:nvSpPr>
        <xdr:cNvPr id="415" name="AutoShape 46" descr="Sweden"/>
        <xdr:cNvSpPr>
          <a:spLocks noChangeAspect="1" noChangeArrowheads="1"/>
        </xdr:cNvSpPr>
      </xdr:nvSpPr>
      <xdr:spPr bwMode="auto">
        <a:xfrm>
          <a:off x="98117025" y="933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50</xdr:row>
      <xdr:rowOff>0</xdr:rowOff>
    </xdr:from>
    <xdr:ext cx="304800" cy="304800"/>
    <xdr:sp macro="" textlink="">
      <xdr:nvSpPr>
        <xdr:cNvPr id="416" name="AutoShape 47" descr="Switzerland"/>
        <xdr:cNvSpPr>
          <a:spLocks noChangeAspect="1" noChangeArrowheads="1"/>
        </xdr:cNvSpPr>
      </xdr:nvSpPr>
      <xdr:spPr bwMode="auto">
        <a:xfrm>
          <a:off x="98117025" y="952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49</xdr:row>
      <xdr:rowOff>0</xdr:rowOff>
    </xdr:from>
    <xdr:ext cx="304800" cy="304800"/>
    <xdr:sp macro="" textlink="">
      <xdr:nvSpPr>
        <xdr:cNvPr id="417" name="AutoShape 46" descr="Sweden"/>
        <xdr:cNvSpPr>
          <a:spLocks noChangeAspect="1" noChangeArrowheads="1"/>
        </xdr:cNvSpPr>
      </xdr:nvSpPr>
      <xdr:spPr bwMode="auto">
        <a:xfrm>
          <a:off x="98117025" y="933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50</xdr:row>
      <xdr:rowOff>0</xdr:rowOff>
    </xdr:from>
    <xdr:ext cx="304800" cy="304800"/>
    <xdr:sp macro="" textlink="">
      <xdr:nvSpPr>
        <xdr:cNvPr id="418" name="AutoShape 47" descr="Switzerland"/>
        <xdr:cNvSpPr>
          <a:spLocks noChangeAspect="1" noChangeArrowheads="1"/>
        </xdr:cNvSpPr>
      </xdr:nvSpPr>
      <xdr:spPr bwMode="auto">
        <a:xfrm>
          <a:off x="98117025" y="952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51</xdr:row>
      <xdr:rowOff>0</xdr:rowOff>
    </xdr:from>
    <xdr:ext cx="304800" cy="304800"/>
    <xdr:sp macro="" textlink="">
      <xdr:nvSpPr>
        <xdr:cNvPr id="419" name="AutoShape 48" descr="Turkey"/>
        <xdr:cNvSpPr>
          <a:spLocks noChangeAspect="1" noChangeArrowheads="1"/>
        </xdr:cNvSpPr>
      </xdr:nvSpPr>
      <xdr:spPr bwMode="auto">
        <a:xfrm>
          <a:off x="98117025" y="971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50</xdr:row>
      <xdr:rowOff>0</xdr:rowOff>
    </xdr:from>
    <xdr:ext cx="304800" cy="304800"/>
    <xdr:sp macro="" textlink="">
      <xdr:nvSpPr>
        <xdr:cNvPr id="420" name="AutoShape 47" descr="Switzerland"/>
        <xdr:cNvSpPr>
          <a:spLocks noChangeAspect="1" noChangeArrowheads="1"/>
        </xdr:cNvSpPr>
      </xdr:nvSpPr>
      <xdr:spPr bwMode="auto">
        <a:xfrm>
          <a:off x="98117025" y="952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51</xdr:row>
      <xdr:rowOff>0</xdr:rowOff>
    </xdr:from>
    <xdr:ext cx="304800" cy="304800"/>
    <xdr:sp macro="" textlink="">
      <xdr:nvSpPr>
        <xdr:cNvPr id="421" name="AutoShape 48" descr="Turkey"/>
        <xdr:cNvSpPr>
          <a:spLocks noChangeAspect="1" noChangeArrowheads="1"/>
        </xdr:cNvSpPr>
      </xdr:nvSpPr>
      <xdr:spPr bwMode="auto">
        <a:xfrm>
          <a:off x="98117025" y="971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52</xdr:row>
      <xdr:rowOff>0</xdr:rowOff>
    </xdr:from>
    <xdr:ext cx="304800" cy="304800"/>
    <xdr:sp macro="" textlink="">
      <xdr:nvSpPr>
        <xdr:cNvPr id="422" name="AutoShape 49" descr="Turkmenistan"/>
        <xdr:cNvSpPr>
          <a:spLocks noChangeAspect="1" noChangeArrowheads="1"/>
        </xdr:cNvSpPr>
      </xdr:nvSpPr>
      <xdr:spPr bwMode="auto">
        <a:xfrm>
          <a:off x="98117025" y="990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51</xdr:row>
      <xdr:rowOff>0</xdr:rowOff>
    </xdr:from>
    <xdr:ext cx="304800" cy="304800"/>
    <xdr:sp macro="" textlink="">
      <xdr:nvSpPr>
        <xdr:cNvPr id="423" name="AutoShape 48" descr="Turkey"/>
        <xdr:cNvSpPr>
          <a:spLocks noChangeAspect="1" noChangeArrowheads="1"/>
        </xdr:cNvSpPr>
      </xdr:nvSpPr>
      <xdr:spPr bwMode="auto">
        <a:xfrm>
          <a:off x="98117025" y="971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52</xdr:row>
      <xdr:rowOff>0</xdr:rowOff>
    </xdr:from>
    <xdr:ext cx="304800" cy="304800"/>
    <xdr:sp macro="" textlink="">
      <xdr:nvSpPr>
        <xdr:cNvPr id="424" name="AutoShape 49" descr="Turkmenistan"/>
        <xdr:cNvSpPr>
          <a:spLocks noChangeAspect="1" noChangeArrowheads="1"/>
        </xdr:cNvSpPr>
      </xdr:nvSpPr>
      <xdr:spPr bwMode="auto">
        <a:xfrm>
          <a:off x="98117025" y="990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53</xdr:row>
      <xdr:rowOff>0</xdr:rowOff>
    </xdr:from>
    <xdr:ext cx="304800" cy="304800"/>
    <xdr:sp macro="" textlink="">
      <xdr:nvSpPr>
        <xdr:cNvPr id="425" name="AutoShape 50" descr="Ukraine"/>
        <xdr:cNvSpPr>
          <a:spLocks noChangeAspect="1" noChangeArrowheads="1"/>
        </xdr:cNvSpPr>
      </xdr:nvSpPr>
      <xdr:spPr bwMode="auto">
        <a:xfrm>
          <a:off x="98117025" y="100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52</xdr:row>
      <xdr:rowOff>0</xdr:rowOff>
    </xdr:from>
    <xdr:ext cx="304800" cy="304800"/>
    <xdr:sp macro="" textlink="">
      <xdr:nvSpPr>
        <xdr:cNvPr id="426" name="AutoShape 49" descr="Turkmenistan"/>
        <xdr:cNvSpPr>
          <a:spLocks noChangeAspect="1" noChangeArrowheads="1"/>
        </xdr:cNvSpPr>
      </xdr:nvSpPr>
      <xdr:spPr bwMode="auto">
        <a:xfrm>
          <a:off x="98117025" y="990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53</xdr:row>
      <xdr:rowOff>0</xdr:rowOff>
    </xdr:from>
    <xdr:ext cx="304800" cy="304800"/>
    <xdr:sp macro="" textlink="">
      <xdr:nvSpPr>
        <xdr:cNvPr id="427" name="AutoShape 50" descr="Ukraine"/>
        <xdr:cNvSpPr>
          <a:spLocks noChangeAspect="1" noChangeArrowheads="1"/>
        </xdr:cNvSpPr>
      </xdr:nvSpPr>
      <xdr:spPr bwMode="auto">
        <a:xfrm>
          <a:off x="98117025" y="100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54</xdr:row>
      <xdr:rowOff>0</xdr:rowOff>
    </xdr:from>
    <xdr:ext cx="304800" cy="304800"/>
    <xdr:sp macro="" textlink="">
      <xdr:nvSpPr>
        <xdr:cNvPr id="428" name="AutoShape 51" descr="United Arab Emirates"/>
        <xdr:cNvSpPr>
          <a:spLocks noChangeAspect="1" noChangeArrowheads="1"/>
        </xdr:cNvSpPr>
      </xdr:nvSpPr>
      <xdr:spPr bwMode="auto">
        <a:xfrm>
          <a:off x="98117025" y="1028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53</xdr:row>
      <xdr:rowOff>0</xdr:rowOff>
    </xdr:from>
    <xdr:ext cx="304800" cy="304800"/>
    <xdr:sp macro="" textlink="">
      <xdr:nvSpPr>
        <xdr:cNvPr id="429" name="AutoShape 50" descr="Ukraine"/>
        <xdr:cNvSpPr>
          <a:spLocks noChangeAspect="1" noChangeArrowheads="1"/>
        </xdr:cNvSpPr>
      </xdr:nvSpPr>
      <xdr:spPr bwMode="auto">
        <a:xfrm>
          <a:off x="98117025" y="100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54</xdr:row>
      <xdr:rowOff>0</xdr:rowOff>
    </xdr:from>
    <xdr:ext cx="304800" cy="304800"/>
    <xdr:sp macro="" textlink="">
      <xdr:nvSpPr>
        <xdr:cNvPr id="430" name="AutoShape 51" descr="United Arab Emirates"/>
        <xdr:cNvSpPr>
          <a:spLocks noChangeAspect="1" noChangeArrowheads="1"/>
        </xdr:cNvSpPr>
      </xdr:nvSpPr>
      <xdr:spPr bwMode="auto">
        <a:xfrm>
          <a:off x="98117025" y="1028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55</xdr:row>
      <xdr:rowOff>0</xdr:rowOff>
    </xdr:from>
    <xdr:ext cx="304800" cy="304800"/>
    <xdr:sp macro="" textlink="">
      <xdr:nvSpPr>
        <xdr:cNvPr id="431" name="AutoShape 52" descr="United Kingdom"/>
        <xdr:cNvSpPr>
          <a:spLocks noChangeAspect="1" noChangeArrowheads="1"/>
        </xdr:cNvSpPr>
      </xdr:nvSpPr>
      <xdr:spPr bwMode="auto">
        <a:xfrm>
          <a:off x="98117025" y="1047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66</xdr:col>
      <xdr:colOff>0</xdr:colOff>
      <xdr:row>54</xdr:row>
      <xdr:rowOff>0</xdr:rowOff>
    </xdr:from>
    <xdr:ext cx="304800" cy="304800"/>
    <xdr:sp macro="" textlink="">
      <xdr:nvSpPr>
        <xdr:cNvPr id="432" name="AutoShape 51" descr="United Arab Emirates"/>
        <xdr:cNvSpPr>
          <a:spLocks noChangeAspect="1" noChangeArrowheads="1"/>
        </xdr:cNvSpPr>
      </xdr:nvSpPr>
      <xdr:spPr bwMode="auto">
        <a:xfrm>
          <a:off x="98117025" y="1028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109</xdr:col>
      <xdr:colOff>0</xdr:colOff>
      <xdr:row>8</xdr:row>
      <xdr:rowOff>0</xdr:rowOff>
    </xdr:from>
    <xdr:to>
      <xdr:col>109</xdr:col>
      <xdr:colOff>228600</xdr:colOff>
      <xdr:row>9</xdr:row>
      <xdr:rowOff>38100</xdr:rowOff>
    </xdr:to>
    <xdr:pic>
      <xdr:nvPicPr>
        <xdr:cNvPr id="345" name="Image 344" descr="Jersey"/>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906450" y="1222057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109</xdr:col>
      <xdr:colOff>0</xdr:colOff>
      <xdr:row>9</xdr:row>
      <xdr:rowOff>0</xdr:rowOff>
    </xdr:from>
    <xdr:to>
      <xdr:col>109</xdr:col>
      <xdr:colOff>228600</xdr:colOff>
      <xdr:row>10</xdr:row>
      <xdr:rowOff>0</xdr:rowOff>
    </xdr:to>
    <xdr:pic>
      <xdr:nvPicPr>
        <xdr:cNvPr id="346" name="Image 345" descr="San Marin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5906450" y="1337310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109</xdr:col>
      <xdr:colOff>0</xdr:colOff>
      <xdr:row>10</xdr:row>
      <xdr:rowOff>0</xdr:rowOff>
    </xdr:from>
    <xdr:to>
      <xdr:col>109</xdr:col>
      <xdr:colOff>228600</xdr:colOff>
      <xdr:row>11</xdr:row>
      <xdr:rowOff>38100</xdr:rowOff>
    </xdr:to>
    <xdr:pic>
      <xdr:nvPicPr>
        <xdr:cNvPr id="347" name="Image 346" descr="Seychelles"/>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5906450" y="1452562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world.tax/news/united-arab-emirates-romania-new-tax-treaty-signed.php" TargetMode="External"/><Relationship Id="rId21" Type="http://schemas.openxmlformats.org/officeDocument/2006/relationships/hyperlink" Target="https://www.world.tax/news/cyprus-south-africa-amending-protocol-enters-into-force.php" TargetMode="External"/><Relationship Id="rId42" Type="http://schemas.openxmlformats.org/officeDocument/2006/relationships/hyperlink" Target="https://www.world.tax/news/andorra-liechtenstein-tax-treaty-signed.php" TargetMode="External"/><Relationship Id="rId63" Type="http://schemas.openxmlformats.org/officeDocument/2006/relationships/hyperlink" Target="https://www.world.tax/news/andorra-malta-tax-treaty-signed.php" TargetMode="External"/><Relationship Id="rId84" Type="http://schemas.openxmlformats.org/officeDocument/2006/relationships/hyperlink" Target="https://www.world.tax/news/singapore-ecuador-tax-treaty-enters-into-force.php" TargetMode="External"/><Relationship Id="rId138" Type="http://schemas.openxmlformats.org/officeDocument/2006/relationships/hyperlink" Target="https://www.world.tax/news/united-arab-emirates-uganda-tax-treaty-signed.php" TargetMode="External"/><Relationship Id="rId107" Type="http://schemas.openxmlformats.org/officeDocument/2006/relationships/hyperlink" Target="https://www.world.tax/news/belize-united-arab-emirates-tax-treaty-signed.php" TargetMode="External"/><Relationship Id="rId11" Type="http://schemas.openxmlformats.org/officeDocument/2006/relationships/hyperlink" Target="https://www.world.tax/news/cyprus-ethiopia-tax-treaty-details-become-available.php" TargetMode="External"/><Relationship Id="rId32" Type="http://schemas.openxmlformats.org/officeDocument/2006/relationships/hyperlink" Target="https://www.world.tax/news/ireland-egypt-tax-treaty-ratified-by-ireland.php" TargetMode="External"/><Relationship Id="rId53" Type="http://schemas.openxmlformats.org/officeDocument/2006/relationships/hyperlink" Target="https://www.world.tax/news/luxembourg-hungary-new-tax-treaty-signed.php" TargetMode="External"/><Relationship Id="rId74" Type="http://schemas.openxmlformats.org/officeDocument/2006/relationships/hyperlink" Target="https://www.world.tax/news/netherlands-germany-new-tax-treaty-enters-into-force.php" TargetMode="External"/><Relationship Id="rId128" Type="http://schemas.openxmlformats.org/officeDocument/2006/relationships/hyperlink" Target="https://www.world.tax/news/united-arab-emirates-japan-tax-treaty-signed.php" TargetMode="External"/><Relationship Id="rId149" Type="http://schemas.openxmlformats.org/officeDocument/2006/relationships/drawing" Target="../drawings/drawing1.xml"/><Relationship Id="rId5" Type="http://schemas.openxmlformats.org/officeDocument/2006/relationships/hyperlink" Target="https://www.world.tax/news/barbados-qatar-tax-treaty-signed.php" TargetMode="External"/><Relationship Id="rId95" Type="http://schemas.openxmlformats.org/officeDocument/2006/relationships/hyperlink" Target="https://www.world.tax/news/switzerland-argentina-new-tax-treaty-enters-into-force.php" TargetMode="External"/><Relationship Id="rId22" Type="http://schemas.openxmlformats.org/officeDocument/2006/relationships/hyperlink" Target="https://www.world.tax/news/cyprus-spain-tax-treaty-enters-into-force.php" TargetMode="External"/><Relationship Id="rId27" Type="http://schemas.openxmlformats.org/officeDocument/2006/relationships/hyperlink" Target="https://www.world.tax/news/guernsey-luxembourg-tax-treaty-enters-into-force.php" TargetMode="External"/><Relationship Id="rId43" Type="http://schemas.openxmlformats.org/officeDocument/2006/relationships/hyperlink" Target="https://www.world.tax/news/liechtenstein-czech-republic-tax-treaty-enters-into-force.php" TargetMode="External"/><Relationship Id="rId48" Type="http://schemas.openxmlformats.org/officeDocument/2006/relationships/hyperlink" Target="https://www.world.tax/news/liechtenstein-united-arab-emirates-tax-treaty-signed.php" TargetMode="External"/><Relationship Id="rId64" Type="http://schemas.openxmlformats.org/officeDocument/2006/relationships/hyperlink" Target="https://www.world.tax/news/malta-azerbaijan-tax-treaty-details-become-available.php" TargetMode="External"/><Relationship Id="rId69" Type="http://schemas.openxmlformats.org/officeDocument/2006/relationships/hyperlink" Target="https://www.world.tax/news/malta-mexico-tax-treaty-enters-into-force.php" TargetMode="External"/><Relationship Id="rId113" Type="http://schemas.openxmlformats.org/officeDocument/2006/relationships/hyperlink" Target="https://www.world.tax/news/liechtenstein-united-arab-emirates-tax-treaty-signed.php" TargetMode="External"/><Relationship Id="rId118" Type="http://schemas.openxmlformats.org/officeDocument/2006/relationships/hyperlink" Target="https://www.world.tax/news/united-arab-emirates-senegal-tax-treaty-signed.php" TargetMode="External"/><Relationship Id="rId134" Type="http://schemas.openxmlformats.org/officeDocument/2006/relationships/hyperlink" Target="https://www.world.tax/news/united-arab-emirates-romania-new-tax-treaty-signed.php" TargetMode="External"/><Relationship Id="rId139" Type="http://schemas.openxmlformats.org/officeDocument/2006/relationships/hyperlink" Target="https://www.world.tax/news/mauritius-south-africa-new-tax-treaty-signed.php" TargetMode="External"/><Relationship Id="rId80" Type="http://schemas.openxmlformats.org/officeDocument/2006/relationships/hyperlink" Target="https://www.world.tax/news/seychelles-kenya-tax-treaty-signed.php" TargetMode="External"/><Relationship Id="rId85" Type="http://schemas.openxmlformats.org/officeDocument/2006/relationships/hyperlink" Target="https://www.world.tax/news/singapore-laos-tax-treaty-signed.php" TargetMode="External"/><Relationship Id="rId12" Type="http://schemas.openxmlformats.org/officeDocument/2006/relationships/hyperlink" Target="https://www.world.tax/news/cyprus-georgia-tax-treaty-enters-into-force.php" TargetMode="External"/><Relationship Id="rId17" Type="http://schemas.openxmlformats.org/officeDocument/2006/relationships/hyperlink" Target="https://www.world.tax/news/cyprus-jersey-tax-treaty-details-become-available.php" TargetMode="External"/><Relationship Id="rId33" Type="http://schemas.openxmlformats.org/officeDocument/2006/relationships/hyperlink" Target="https://www.world.tax/news/ireland-pakistan-new-tax-treaty-signed.php" TargetMode="External"/><Relationship Id="rId38" Type="http://schemas.openxmlformats.org/officeDocument/2006/relationships/hyperlink" Target="https://www.world.tax/news/isle-of-man-luxembourg-tax-treaty-enters-into-force.php" TargetMode="External"/><Relationship Id="rId59" Type="http://schemas.openxmlformats.org/officeDocument/2006/relationships/hyperlink" Target="https://www.world.tax/news/luxembourg-singapore-new-tax-treaty-enters-into-force.php" TargetMode="External"/><Relationship Id="rId103" Type="http://schemas.openxmlformats.org/officeDocument/2006/relationships/hyperlink" Target="https://www.world.tax/news/switzerland-oman-tax-treaty-signed.php" TargetMode="External"/><Relationship Id="rId108" Type="http://schemas.openxmlformats.org/officeDocument/2006/relationships/hyperlink" Target="https://www.world.tax/news/united-arab-emirates-ethiopia-tax-treaty-signed.php" TargetMode="External"/><Relationship Id="rId124" Type="http://schemas.openxmlformats.org/officeDocument/2006/relationships/hyperlink" Target="https://www.world.tax/news/belize-united-arab-emirates-tax-treaty-signed.php" TargetMode="External"/><Relationship Id="rId129" Type="http://schemas.openxmlformats.org/officeDocument/2006/relationships/hyperlink" Target="https://www.world.tax/news/united-arab-emirates-kosovo-tax-treaty-signed.php" TargetMode="External"/><Relationship Id="rId54" Type="http://schemas.openxmlformats.org/officeDocument/2006/relationships/hyperlink" Target="https://www.world.tax/news/isle-of-man-luxembourg-tax-treaty-enters-into-force.php" TargetMode="External"/><Relationship Id="rId70" Type="http://schemas.openxmlformats.org/officeDocument/2006/relationships/hyperlink" Target="https://www.world.tax/news/malta-russia-tax-treaty-enters-into-force.php" TargetMode="External"/><Relationship Id="rId75" Type="http://schemas.openxmlformats.org/officeDocument/2006/relationships/hyperlink" Target="https://www.world.tax/news/netherlands-malawi-tax-treaty-signed.php" TargetMode="External"/><Relationship Id="rId91" Type="http://schemas.openxmlformats.org/officeDocument/2006/relationships/hyperlink" Target="https://www.world.tax/news/singapore-san-marino-tax-treaty-enters-into-force.php" TargetMode="External"/><Relationship Id="rId96" Type="http://schemas.openxmlformats.org/officeDocument/2006/relationships/hyperlink" Target="https://www.world.tax/news/switzerland-australia-new-tax-treaty-signed.php" TargetMode="External"/><Relationship Id="rId140" Type="http://schemas.openxmlformats.org/officeDocument/2006/relationships/hyperlink" Target="https://www.world.tax/news/guernsey-mauritius-tax-treaty-enters-into-force.php" TargetMode="External"/><Relationship Id="rId145" Type="http://schemas.openxmlformats.org/officeDocument/2006/relationships/hyperlink" Target="https://www.world.tax/news/hong-kong-russia-tax-treaty-enters-into-force.php" TargetMode="External"/><Relationship Id="rId1" Type="http://schemas.openxmlformats.org/officeDocument/2006/relationships/hyperlink" Target="https://www.world.tax/news/andorra-liechtenstein-tax-treaty-signed.php" TargetMode="External"/><Relationship Id="rId6" Type="http://schemas.openxmlformats.org/officeDocument/2006/relationships/hyperlink" Target="https://www.world.tax/news/barbados-san-marino-tax-treaty-signed.php" TargetMode="External"/><Relationship Id="rId23" Type="http://schemas.openxmlformats.org/officeDocument/2006/relationships/hyperlink" Target="https://www.world.tax/news/cyprus-switzerland-tax-treaty-enters-into-force.php" TargetMode="External"/><Relationship Id="rId28" Type="http://schemas.openxmlformats.org/officeDocument/2006/relationships/hyperlink" Target="https://www.world.tax/news/guernsey-mauritius-tax-treaty-enters-into-force.php" TargetMode="External"/><Relationship Id="rId49" Type="http://schemas.openxmlformats.org/officeDocument/2006/relationships/hyperlink" Target="https://www.world.tax/news/luxembourg-croatia-tax-treaty-signed.php" TargetMode="External"/><Relationship Id="rId114" Type="http://schemas.openxmlformats.org/officeDocument/2006/relationships/hyperlink" Target="https://www.world.tax/news/luxembourg-united-arab-emirates-amending-protocol-published.php" TargetMode="External"/><Relationship Id="rId119" Type="http://schemas.openxmlformats.org/officeDocument/2006/relationships/hyperlink" Target="https://www.world.tax/news/united-arab-emirates-serbia-tax-treaty-signed.php" TargetMode="External"/><Relationship Id="rId44" Type="http://schemas.openxmlformats.org/officeDocument/2006/relationships/hyperlink" Target="https://www.world.tax/news/liechtenstein-hungary-tax-treaty-enters-into-force.php" TargetMode="External"/><Relationship Id="rId60" Type="http://schemas.openxmlformats.org/officeDocument/2006/relationships/hyperlink" Target="https://www.world.tax/news/luxembourg-taiwan-tax-treaty-enters-into-force.php" TargetMode="External"/><Relationship Id="rId65" Type="http://schemas.openxmlformats.org/officeDocument/2006/relationships/hyperlink" Target="https://www.world.tax/news/malta-curacao-tax-treaty-signed.php" TargetMode="External"/><Relationship Id="rId81" Type="http://schemas.openxmlformats.org/officeDocument/2006/relationships/hyperlink" Target="https://www.world.tax/news/seychelles-singapore-tax-treaty-enters-into-force.php" TargetMode="External"/><Relationship Id="rId86" Type="http://schemas.openxmlformats.org/officeDocument/2006/relationships/hyperlink" Target="https://www.world.tax/news/liechtenstein-singapore-tax-treaty-enters-into-force.php" TargetMode="External"/><Relationship Id="rId130" Type="http://schemas.openxmlformats.org/officeDocument/2006/relationships/hyperlink" Target="https://www.world.tax/news/liechtenstein-united-arab-emirates-tax-treaty-signed.php" TargetMode="External"/><Relationship Id="rId135" Type="http://schemas.openxmlformats.org/officeDocument/2006/relationships/hyperlink" Target="https://www.world.tax/news/united-arab-emirates-senegal-tax-treaty-signed.php" TargetMode="External"/><Relationship Id="rId13" Type="http://schemas.openxmlformats.org/officeDocument/2006/relationships/hyperlink" Target="https://www.world.tax/news/cyprus-guernsey-tax-treaty-enters-into-force.php" TargetMode="External"/><Relationship Id="rId18" Type="http://schemas.openxmlformats.org/officeDocument/2006/relationships/hyperlink" Target="https://www.world.tax/news/cyprus-latvia-tax-treaty-enters-into-force.php" TargetMode="External"/><Relationship Id="rId39" Type="http://schemas.openxmlformats.org/officeDocument/2006/relationships/hyperlink" Target="https://www.world.tax/news/cyprus-jersey-tax-treaty-details-become-available.php" TargetMode="External"/><Relationship Id="rId109" Type="http://schemas.openxmlformats.org/officeDocument/2006/relationships/hyperlink" Target="https://www.world.tax/news/united-arab-emirates-fyrom-tax-treaty-signed.php" TargetMode="External"/><Relationship Id="rId34" Type="http://schemas.openxmlformats.org/officeDocument/2006/relationships/hyperlink" Target="https://www.world.tax/news/ireland-thailand-tax-treaty-enters-into-force.php" TargetMode="External"/><Relationship Id="rId50" Type="http://schemas.openxmlformats.org/officeDocument/2006/relationships/hyperlink" Target="https://www.world.tax/news/luxembourg-czech-republic-tax-treaty-enters-into-force.php" TargetMode="External"/><Relationship Id="rId55" Type="http://schemas.openxmlformats.org/officeDocument/2006/relationships/hyperlink" Target="https://www.world.tax/news/luxembourg-laos-tax-treaty-enters-into-force.php" TargetMode="External"/><Relationship Id="rId76" Type="http://schemas.openxmlformats.org/officeDocument/2006/relationships/hyperlink" Target="https://www.world.tax/news/panama-czech-republic-tax-treaty-signed.php" TargetMode="External"/><Relationship Id="rId97" Type="http://schemas.openxmlformats.org/officeDocument/2006/relationships/hyperlink" Target="https://www.world.tax/news/switzerland-china-new-tax-treaty-enters-into-force.php" TargetMode="External"/><Relationship Id="rId104" Type="http://schemas.openxmlformats.org/officeDocument/2006/relationships/hyperlink" Target="https://www.world.tax/news/switzerland-peru-tax-treaty-enters-into-force.php" TargetMode="External"/><Relationship Id="rId120" Type="http://schemas.openxmlformats.org/officeDocument/2006/relationships/hyperlink" Target="https://www.world.tax/news/united-arab-emirates-slovenia-tax-treaty-enters-into-force.php" TargetMode="External"/><Relationship Id="rId125" Type="http://schemas.openxmlformats.org/officeDocument/2006/relationships/hyperlink" Target="https://www.world.tax/news/united-arab-emirates-ethiopia-tax-treaty-signed.php" TargetMode="External"/><Relationship Id="rId141" Type="http://schemas.openxmlformats.org/officeDocument/2006/relationships/hyperlink" Target="https://www.world.tax/news/guernsey-mauritius-tax-treaty-enters-into-force.php" TargetMode="External"/><Relationship Id="rId146" Type="http://schemas.openxmlformats.org/officeDocument/2006/relationships/hyperlink" Target="https://www.world.tax/news/hong-kong-south-africa-tax-treaty-enters-into-force.php" TargetMode="External"/><Relationship Id="rId7" Type="http://schemas.openxmlformats.org/officeDocument/2006/relationships/hyperlink" Target="https://www.world.tax/news/barbados-singapore-tax-treaty-enters-into-force.php" TargetMode="External"/><Relationship Id="rId71" Type="http://schemas.openxmlformats.org/officeDocument/2006/relationships/hyperlink" Target="https://www.world.tax/news/malta-ukraine-tax-treaty-signed.php" TargetMode="External"/><Relationship Id="rId92" Type="http://schemas.openxmlformats.org/officeDocument/2006/relationships/hyperlink" Target="https://www.world.tax/news/seychelles-singapore-tax-treaty-enters-into-force.php" TargetMode="External"/><Relationship Id="rId2" Type="http://schemas.openxmlformats.org/officeDocument/2006/relationships/hyperlink" Target="https://www.world.tax/news/andorra-malta-tax-treaty-signed.php" TargetMode="External"/><Relationship Id="rId29" Type="http://schemas.openxmlformats.org/officeDocument/2006/relationships/hyperlink" Target="https://www.world.tax/news/guernsey-monaco-tax-treaty-enters-into-force.php" TargetMode="External"/><Relationship Id="rId24" Type="http://schemas.openxmlformats.org/officeDocument/2006/relationships/hyperlink" Target="https://www.world.tax/news/cyprus-ukraine-details-of-amending-protocol-become-available.php" TargetMode="External"/><Relationship Id="rId40" Type="http://schemas.openxmlformats.org/officeDocument/2006/relationships/hyperlink" Target="https://www.world.tax/news/jersey-rwanda-tax-treaty-enters-into-force.php" TargetMode="External"/><Relationship Id="rId45" Type="http://schemas.openxmlformats.org/officeDocument/2006/relationships/hyperlink" Target="https://www.world.tax/news/liechtenstein-malta-tax-treaty-enters-into-force.php" TargetMode="External"/><Relationship Id="rId66" Type="http://schemas.openxmlformats.org/officeDocument/2006/relationships/hyperlink" Target="https://www.world.tax/news/malta-india-new-tax-treaty-enters-into-force.php" TargetMode="External"/><Relationship Id="rId87" Type="http://schemas.openxmlformats.org/officeDocument/2006/relationships/hyperlink" Target="https://www.world.tax/news/luxembourg-singapore-new-tax-treaty-enters-into-force.php" TargetMode="External"/><Relationship Id="rId110" Type="http://schemas.openxmlformats.org/officeDocument/2006/relationships/hyperlink" Target="https://www.world.tax/news/hungary-united-arab-emirates-tax-treaty-enters-into-force.php" TargetMode="External"/><Relationship Id="rId115" Type="http://schemas.openxmlformats.org/officeDocument/2006/relationships/hyperlink" Target="https://www.world.tax/news/united-arab-emirates-mauritania-tax-treaty-signed.php" TargetMode="External"/><Relationship Id="rId131" Type="http://schemas.openxmlformats.org/officeDocument/2006/relationships/hyperlink" Target="https://www.world.tax/news/luxembourg-united-arab-emirates-amending-protocol-published.php" TargetMode="External"/><Relationship Id="rId136" Type="http://schemas.openxmlformats.org/officeDocument/2006/relationships/hyperlink" Target="https://www.world.tax/news/united-arab-emirates-serbia-tax-treaty-signed.php" TargetMode="External"/><Relationship Id="rId61" Type="http://schemas.openxmlformats.org/officeDocument/2006/relationships/hyperlink" Target="https://www.world.tax/news/luxembourg-united-arab-emirates-amending-protocol-published.php" TargetMode="External"/><Relationship Id="rId82" Type="http://schemas.openxmlformats.org/officeDocument/2006/relationships/hyperlink" Target="https://www.world.tax/news/barbados-singapore-tax-treaty-enters-into-force.php" TargetMode="External"/><Relationship Id="rId19" Type="http://schemas.openxmlformats.org/officeDocument/2006/relationships/hyperlink" Target="https://www.world.tax/news/cyprus-lithuania-tax-treaty-enters-into-force.php" TargetMode="External"/><Relationship Id="rId14" Type="http://schemas.openxmlformats.org/officeDocument/2006/relationships/hyperlink" Target="https://www.world.tax/news/cyprus-iceland-tax-treaty-enters-into-force.php" TargetMode="External"/><Relationship Id="rId30" Type="http://schemas.openxmlformats.org/officeDocument/2006/relationships/hyperlink" Target="https://www.world.tax/news/guernsey-seychelles-tax-treaty-enters-into-force.php" TargetMode="External"/><Relationship Id="rId35" Type="http://schemas.openxmlformats.org/officeDocument/2006/relationships/hyperlink" Target="https://www.world.tax/news/ireland-ukraine-tax-treaty-enters-into-force.php" TargetMode="External"/><Relationship Id="rId56" Type="http://schemas.openxmlformats.org/officeDocument/2006/relationships/hyperlink" Target="https://www.world.tax/news/luxembourg-saudi-arabia-tax-treaty-enters-into-force.php" TargetMode="External"/><Relationship Id="rId77" Type="http://schemas.openxmlformats.org/officeDocument/2006/relationships/hyperlink" Target="https://www.world.tax/news/panama-israel-tax-treaty-enters-into-force.php" TargetMode="External"/><Relationship Id="rId100" Type="http://schemas.openxmlformats.org/officeDocument/2006/relationships/hyperlink" Target="https://www.world.tax/news/switzerland-hungary-new-tax-treaty-enters-into-force.php" TargetMode="External"/><Relationship Id="rId105" Type="http://schemas.openxmlformats.org/officeDocument/2006/relationships/hyperlink" Target="https://www.world.tax/news/united-arab-emirates-albania-tax-treaty-signed.php" TargetMode="External"/><Relationship Id="rId126" Type="http://schemas.openxmlformats.org/officeDocument/2006/relationships/hyperlink" Target="https://www.world.tax/news/united-arab-emirates-fyrom-tax-treaty-signed.php" TargetMode="External"/><Relationship Id="rId147" Type="http://schemas.openxmlformats.org/officeDocument/2006/relationships/hyperlink" Target="https://www.world.tax/news/hong-kong-south-korea-tax-treaty-signed.php" TargetMode="External"/><Relationship Id="rId8" Type="http://schemas.openxmlformats.org/officeDocument/2006/relationships/hyperlink" Target="https://www.world.tax/news/barbados-slovakia-tax-treaty-signed.php" TargetMode="External"/><Relationship Id="rId51" Type="http://schemas.openxmlformats.org/officeDocument/2006/relationships/hyperlink" Target="https://www.world.tax/news/luxembourg-estonia-tax-treaty-enters-into-force.php" TargetMode="External"/><Relationship Id="rId72" Type="http://schemas.openxmlformats.org/officeDocument/2006/relationships/hyperlink" Target="https://www.world.tax/news/netherlands-china-new-tax-treaty-enters-into-force.php" TargetMode="External"/><Relationship Id="rId93" Type="http://schemas.openxmlformats.org/officeDocument/2006/relationships/hyperlink" Target="https://www.world.tax/news/singapore-sri-lanka-tax-treaty-signed.php" TargetMode="External"/><Relationship Id="rId98" Type="http://schemas.openxmlformats.org/officeDocument/2006/relationships/hyperlink" Target="https://www.world.tax/news/cyprus-switzerland-tax-treaty-enters-into-force.php" TargetMode="External"/><Relationship Id="rId121" Type="http://schemas.openxmlformats.org/officeDocument/2006/relationships/hyperlink" Target="https://www.world.tax/news/united-arab-emirates-uganda-tax-treaty-signed.php" TargetMode="External"/><Relationship Id="rId142" Type="http://schemas.openxmlformats.org/officeDocument/2006/relationships/hyperlink" Target="https://www.world.tax/news/cyprus-lithuania-tax-treaty-enters-into-force.php" TargetMode="External"/><Relationship Id="rId3" Type="http://schemas.openxmlformats.org/officeDocument/2006/relationships/hyperlink" Target="https://www.world.tax/news/united-arab-emirates-andorra-tax-treaty-signed.php" TargetMode="External"/><Relationship Id="rId25" Type="http://schemas.openxmlformats.org/officeDocument/2006/relationships/hyperlink" Target="https://www.world.tax/news/ireland-egypt-tax-treaty-ratified-by-ireland.php" TargetMode="External"/><Relationship Id="rId46" Type="http://schemas.openxmlformats.org/officeDocument/2006/relationships/hyperlink" Target="https://www.world.tax/news/liechtenstein-singapore-tax-treaty-enters-into-force.php" TargetMode="External"/><Relationship Id="rId67" Type="http://schemas.openxmlformats.org/officeDocument/2006/relationships/hyperlink" Target="https://www.world.tax/news/liechtenstein-malta-tax-treaty-enters-into-force.php" TargetMode="External"/><Relationship Id="rId116" Type="http://schemas.openxmlformats.org/officeDocument/2006/relationships/hyperlink" Target="https://www.world.tax/news/united-arab-emirates-mexico-tax-treaty-enters-into-force.php" TargetMode="External"/><Relationship Id="rId137" Type="http://schemas.openxmlformats.org/officeDocument/2006/relationships/hyperlink" Target="https://www.world.tax/news/united-arab-emirates-slovenia-tax-treaty-enters-into-force.php" TargetMode="External"/><Relationship Id="rId20" Type="http://schemas.openxmlformats.org/officeDocument/2006/relationships/hyperlink" Target="https://www.world.tax/news/cyprus-norway-tax-treaty-enters-into-force.php" TargetMode="External"/><Relationship Id="rId41" Type="http://schemas.openxmlformats.org/officeDocument/2006/relationships/hyperlink" Target="https://www.world.tax/news/jersey-seychelles-tax-treaty-signed.php" TargetMode="External"/><Relationship Id="rId62" Type="http://schemas.openxmlformats.org/officeDocument/2006/relationships/hyperlink" Target="https://www.world.tax/news/luxembourg-uruguay-tax-treaty-signed.php" TargetMode="External"/><Relationship Id="rId83" Type="http://schemas.openxmlformats.org/officeDocument/2006/relationships/hyperlink" Target="https://www.world.tax/news/singapore-cambodia-tax-treaty-signed.php" TargetMode="External"/><Relationship Id="rId88" Type="http://schemas.openxmlformats.org/officeDocument/2006/relationships/hyperlink" Target="https://www.world.tax/news/singapore-morocco-tax-treaty-enters-into-force.php" TargetMode="External"/><Relationship Id="rId111" Type="http://schemas.openxmlformats.org/officeDocument/2006/relationships/hyperlink" Target="https://www.world.tax/news/united-arab-emirates-japan-tax-treaty-signed.php" TargetMode="External"/><Relationship Id="rId132" Type="http://schemas.openxmlformats.org/officeDocument/2006/relationships/hyperlink" Target="https://www.world.tax/news/united-arab-emirates-mauritania-tax-treaty-signed.php" TargetMode="External"/><Relationship Id="rId15" Type="http://schemas.openxmlformats.org/officeDocument/2006/relationships/hyperlink" Target="https://www.world.tax/news/cyprus-india-new-tax-treaty-signed.php" TargetMode="External"/><Relationship Id="rId36" Type="http://schemas.openxmlformats.org/officeDocument/2006/relationships/hyperlink" Target="https://www.world.tax/news/ireland-zambia-new-tax-treaty-signed.php" TargetMode="External"/><Relationship Id="rId57" Type="http://schemas.openxmlformats.org/officeDocument/2006/relationships/hyperlink" Target="https://www.world.tax/news/luxembourg-senegal-tax-treaty-signed.php" TargetMode="External"/><Relationship Id="rId106" Type="http://schemas.openxmlformats.org/officeDocument/2006/relationships/hyperlink" Target="https://www.world.tax/news/united-arab-emirates-andorra-tax-treaty-signed.php" TargetMode="External"/><Relationship Id="rId127" Type="http://schemas.openxmlformats.org/officeDocument/2006/relationships/hyperlink" Target="https://www.world.tax/news/hungary-united-arab-emirates-tax-treaty-enters-into-force.php" TargetMode="External"/><Relationship Id="rId10" Type="http://schemas.openxmlformats.org/officeDocument/2006/relationships/hyperlink" Target="https://www.world.tax/news/cyprus-bahrain-treaty-text-becomes-available.php" TargetMode="External"/><Relationship Id="rId31" Type="http://schemas.openxmlformats.org/officeDocument/2006/relationships/hyperlink" Target="https://www.world.tax/news/ireland-botswana-tax-treaty-enters-into-force.php" TargetMode="External"/><Relationship Id="rId52" Type="http://schemas.openxmlformats.org/officeDocument/2006/relationships/hyperlink" Target="https://www.world.tax/news/guernsey-luxembourg-tax-treaty-enters-into-force.php" TargetMode="External"/><Relationship Id="rId73" Type="http://schemas.openxmlformats.org/officeDocument/2006/relationships/hyperlink" Target="https://www.world.tax/news/netherlands-ethiopia-tax-treaty-signed.php" TargetMode="External"/><Relationship Id="rId78" Type="http://schemas.openxmlformats.org/officeDocument/2006/relationships/hyperlink" Target="https://www.world.tax/news/guernsey-seychelles-tax-treaty-enters-into-force.php" TargetMode="External"/><Relationship Id="rId94" Type="http://schemas.openxmlformats.org/officeDocument/2006/relationships/hyperlink" Target="https://www.world.tax/news/singapore-thailand-new-tax-treaty-signed.php" TargetMode="External"/><Relationship Id="rId99" Type="http://schemas.openxmlformats.org/officeDocument/2006/relationships/hyperlink" Target="https://www.world.tax/news/switzerland-estonia-amending-protocol-signed.php" TargetMode="External"/><Relationship Id="rId101" Type="http://schemas.openxmlformats.org/officeDocument/2006/relationships/hyperlink" Target="https://www.world.tax/news/switzerland-iceland-new-tax-treaty-signed.php" TargetMode="External"/><Relationship Id="rId122" Type="http://schemas.openxmlformats.org/officeDocument/2006/relationships/hyperlink" Target="https://www.world.tax/news/united-arab-emirates-albania-tax-treaty-signed.php" TargetMode="External"/><Relationship Id="rId143" Type="http://schemas.openxmlformats.org/officeDocument/2006/relationships/hyperlink" Target="https://www.world.tax/news/hong-kong-italy-tax-treaty-enters-into-force.php" TargetMode="External"/><Relationship Id="rId148" Type="http://schemas.openxmlformats.org/officeDocument/2006/relationships/printerSettings" Target="../printerSettings/printerSettings3.bin"/><Relationship Id="rId4" Type="http://schemas.openxmlformats.org/officeDocument/2006/relationships/hyperlink" Target="https://www.world.tax/news/barbados-italy-tax-treaty-signed.php" TargetMode="External"/><Relationship Id="rId9" Type="http://schemas.openxmlformats.org/officeDocument/2006/relationships/hyperlink" Target="https://www.world.tax/news/belize-united-arab-emirates-tax-treaty-signed.php" TargetMode="External"/><Relationship Id="rId26" Type="http://schemas.openxmlformats.org/officeDocument/2006/relationships/hyperlink" Target="https://www.world.tax/news/cyprus-guernsey-tax-treaty-enters-into-force.php" TargetMode="External"/><Relationship Id="rId47" Type="http://schemas.openxmlformats.org/officeDocument/2006/relationships/hyperlink" Target="https://www.world.tax/news/liechtenstein-switzerland-new-tax-treaty-signed.php" TargetMode="External"/><Relationship Id="rId68" Type="http://schemas.openxmlformats.org/officeDocument/2006/relationships/hyperlink" Target="https://www.world.tax/news/liechtenstein-malta-tax-treaty-enters-into-force.php" TargetMode="External"/><Relationship Id="rId89" Type="http://schemas.openxmlformats.org/officeDocument/2006/relationships/hyperlink" Target="https://www.world.tax/news/singapore-poland-tax-treaty-signed.php" TargetMode="External"/><Relationship Id="rId112" Type="http://schemas.openxmlformats.org/officeDocument/2006/relationships/hyperlink" Target="https://www.world.tax/news/united-arab-emirates-kosovo-tax-treaty-signed.php" TargetMode="External"/><Relationship Id="rId133" Type="http://schemas.openxmlformats.org/officeDocument/2006/relationships/hyperlink" Target="https://www.world.tax/news/united-arab-emirates-mexico-tax-treaty-enters-into-force.php" TargetMode="External"/><Relationship Id="rId16" Type="http://schemas.openxmlformats.org/officeDocument/2006/relationships/hyperlink" Target="https://www.world.tax/news/cyprus-and-iran-to-sign-income-tax-treaty.php" TargetMode="External"/><Relationship Id="rId37" Type="http://schemas.openxmlformats.org/officeDocument/2006/relationships/hyperlink" Target="https://www.world.tax/news/isle-of-man-belgium-tax-treaty-signed.php" TargetMode="External"/><Relationship Id="rId58" Type="http://schemas.openxmlformats.org/officeDocument/2006/relationships/hyperlink" Target="https://www.world.tax/news/luxembourg-serbia-tax-treaty-signed.php" TargetMode="External"/><Relationship Id="rId79" Type="http://schemas.openxmlformats.org/officeDocument/2006/relationships/hyperlink" Target="https://www.world.tax/news/jersey-seychelles-tax-treaty-signed.php" TargetMode="External"/><Relationship Id="rId102" Type="http://schemas.openxmlformats.org/officeDocument/2006/relationships/hyperlink" Target="https://www.world.tax/news/liechtenstein-switzerland-new-tax-treaty-signed.php" TargetMode="External"/><Relationship Id="rId123" Type="http://schemas.openxmlformats.org/officeDocument/2006/relationships/hyperlink" Target="https://www.world.tax/news/united-arab-emirates-andorra-tax-treaty-signed.php" TargetMode="External"/><Relationship Id="rId144" Type="http://schemas.openxmlformats.org/officeDocument/2006/relationships/hyperlink" Target="https://www.world.tax/news/hong-kong-romania-tax-treaty-signed.php" TargetMode="External"/><Relationship Id="rId90" Type="http://schemas.openxmlformats.org/officeDocument/2006/relationships/hyperlink" Target="https://www.world.tax/news/singapore-rwanda-tax-treaty-enters-into-force.php"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s://www.world.tax/news/gibraltar-belgium-tax-information-exchange-agreement-enters-into-force.php" TargetMode="External"/><Relationship Id="rId21" Type="http://schemas.openxmlformats.org/officeDocument/2006/relationships/hyperlink" Target="https://www.world.tax/news/cayman-islands-isle-of-man-tax-information-exchange-agreement-enters-into-force.php" TargetMode="External"/><Relationship Id="rId42" Type="http://schemas.openxmlformats.org/officeDocument/2006/relationships/hyperlink" Target="https://www.world.tax/news/guernsey-liechtenstein-tax-information-exchange-agreement-enters-into-force.php" TargetMode="External"/><Relationship Id="rId47" Type="http://schemas.openxmlformats.org/officeDocument/2006/relationships/hyperlink" Target="https://www.world.tax/news/guernsey-swaziland-tax-information-exchange-agreement-enters-into-force.php" TargetMode="External"/><Relationship Id="rId63" Type="http://schemas.openxmlformats.org/officeDocument/2006/relationships/hyperlink" Target="https://www.world.tax/news/cayman-islands-isle-of-man-tax-information-exchange-agreement-enters-into-force.php" TargetMode="External"/><Relationship Id="rId68" Type="http://schemas.openxmlformats.org/officeDocument/2006/relationships/hyperlink" Target="https://www.world.tax/news/isle-of-man-switzerland-tax-information-exchange-agreement-enters-into-force.php" TargetMode="External"/><Relationship Id="rId84" Type="http://schemas.openxmlformats.org/officeDocument/2006/relationships/hyperlink" Target="https://www.world.tax/news/guernsey-lithuania-tax-information-exchange-agreement-signed.php" TargetMode="External"/><Relationship Id="rId89" Type="http://schemas.openxmlformats.org/officeDocument/2006/relationships/hyperlink" Target="https://www.world.tax/news/hong-kong-south-africa-tax-treaty-enters-into-force.php" TargetMode="External"/><Relationship Id="rId16" Type="http://schemas.openxmlformats.org/officeDocument/2006/relationships/hyperlink" Target="https://www.world.tax/news/british-virgin-islands-guernsey-tax-information-exchange-agreement-enters-into-force.php" TargetMode="External"/><Relationship Id="rId107" Type="http://schemas.openxmlformats.org/officeDocument/2006/relationships/drawing" Target="../drawings/drawing2.xml"/><Relationship Id="rId11" Type="http://schemas.openxmlformats.org/officeDocument/2006/relationships/hyperlink" Target="https://www.world.tax/news/belize-switzerland-tax-information-exchange-agreement-enters-into-force.php" TargetMode="External"/><Relationship Id="rId32" Type="http://schemas.openxmlformats.org/officeDocument/2006/relationships/hyperlink" Target="https://www.world.tax/news/guernsey-belgium-tax-information-exchange-agreement-signed.php" TargetMode="External"/><Relationship Id="rId37" Type="http://schemas.openxmlformats.org/officeDocument/2006/relationships/hyperlink" Target="https://www.world.tax/news/guernsey-chile-tax-information-exchange-agreement-enters-into-force.php" TargetMode="External"/><Relationship Id="rId53" Type="http://schemas.openxmlformats.org/officeDocument/2006/relationships/hyperlink" Target="https://www.world.tax/news/hong-kong-greenland-tax-information-exchange-agreement-enters-into-force.php" TargetMode="External"/><Relationship Id="rId58" Type="http://schemas.openxmlformats.org/officeDocument/2006/relationships/hyperlink" Target="https://www.world.tax/news/ireland-argentina-tax-information-exchange-agreement-signed.php" TargetMode="External"/><Relationship Id="rId74" Type="http://schemas.openxmlformats.org/officeDocument/2006/relationships/hyperlink" Target="https://www.world.tax/news/jersey-romania-tax-information-exchange-agreement-enters-into-force.php" TargetMode="External"/><Relationship Id="rId79" Type="http://schemas.openxmlformats.org/officeDocument/2006/relationships/hyperlink" Target="https://www.world.tax/news/liechtenstein-canada-tax-information-exchange-agreement-enters-into-force.php" TargetMode="External"/><Relationship Id="rId102" Type="http://schemas.openxmlformats.org/officeDocument/2006/relationships/hyperlink" Target="https://www.world.tax/news/united-arab-emirates-norway-tax-information-exchange-agreement-signed.php" TargetMode="External"/><Relationship Id="rId5" Type="http://schemas.openxmlformats.org/officeDocument/2006/relationships/hyperlink" Target="https://www.world.tax/news/bahamas-poland-tax-information-exchange-agreement-enters-into-force.php" TargetMode="External"/><Relationship Id="rId90" Type="http://schemas.openxmlformats.org/officeDocument/2006/relationships/hyperlink" Target="https://www.world.tax/news/seychelles-india-tax-information-exchange-agreement-signed.php" TargetMode="External"/><Relationship Id="rId95" Type="http://schemas.openxmlformats.org/officeDocument/2006/relationships/hyperlink" Target="https://www.world.tax/news/switzerland-grenada-tax-information-exchange-agreement-signed.php" TargetMode="External"/><Relationship Id="rId22" Type="http://schemas.openxmlformats.org/officeDocument/2006/relationships/hyperlink" Target="https://www.world.tax/news/cayman-islands-italy-tax-information-exchange-agreement-enters-into-force.php" TargetMode="External"/><Relationship Id="rId27" Type="http://schemas.openxmlformats.org/officeDocument/2006/relationships/hyperlink" Target="https://www.world.tax/news/gibraltar-greece-tax-information-exchange-agreement-signed.php" TargetMode="External"/><Relationship Id="rId43" Type="http://schemas.openxmlformats.org/officeDocument/2006/relationships/hyperlink" Target="https://www.world.tax/news/guernsey-lithuania-tax-information-exchange-agreement-signed.php" TargetMode="External"/><Relationship Id="rId48" Type="http://schemas.openxmlformats.org/officeDocument/2006/relationships/hyperlink" Target="https://www.world.tax/news/guernsey-switzerland-tax-information-exchange-agreement-signed.php" TargetMode="External"/><Relationship Id="rId64" Type="http://schemas.openxmlformats.org/officeDocument/2006/relationships/hyperlink" Target="https://www.world.tax/news/isle-of-man-indonesia-tax-information-exchange-agreement-enters-into-force.php" TargetMode="External"/><Relationship Id="rId69" Type="http://schemas.openxmlformats.org/officeDocument/2006/relationships/hyperlink" Target="https://www.world.tax/news/jersey-austria-tax-information-exchange-agreement-enters-into-force.php" TargetMode="External"/><Relationship Id="rId80" Type="http://schemas.openxmlformats.org/officeDocument/2006/relationships/hyperlink" Target="https://www.world.tax/news/liechtenstein-china-tax-information-exchange-agreement-enters-into-force.php" TargetMode="External"/><Relationship Id="rId85" Type="http://schemas.openxmlformats.org/officeDocument/2006/relationships/hyperlink" Target="https://www.world.tax/news/malta-macau-tax-information-exchange-agreement-signed.php" TargetMode="External"/><Relationship Id="rId12" Type="http://schemas.openxmlformats.org/officeDocument/2006/relationships/hyperlink" Target="https://www.world.tax/news/bermuda-belgium-tax-information-exchange-agreement-signed.php" TargetMode="External"/><Relationship Id="rId17" Type="http://schemas.openxmlformats.org/officeDocument/2006/relationships/hyperlink" Target="https://www.world.tax/news/british-virgin-islands-isle-of-man-tax-information-exchange-agreement-enters-into-force.php" TargetMode="External"/><Relationship Id="rId33" Type="http://schemas.openxmlformats.org/officeDocument/2006/relationships/hyperlink" Target="https://www.world.tax/news/guernsey-botswana-tax-information-exchange-agreement-signed.php" TargetMode="External"/><Relationship Id="rId38" Type="http://schemas.openxmlformats.org/officeDocument/2006/relationships/hyperlink" Target="https://www.world.tax/news/guernsey-costa-rica-tax-information-exchange-agreement-signed.php" TargetMode="External"/><Relationship Id="rId59" Type="http://schemas.openxmlformats.org/officeDocument/2006/relationships/hyperlink" Target="https://www.world.tax/news/ireland-st.-kitts-and-nevis-tax-information-exchange-agreement-signed.php" TargetMode="External"/><Relationship Id="rId103" Type="http://schemas.openxmlformats.org/officeDocument/2006/relationships/hyperlink" Target="https://www.world.tax/news/united-arab-emirates-sweden-tax-information-exchange-agreement-signed.php" TargetMode="External"/><Relationship Id="rId20" Type="http://schemas.openxmlformats.org/officeDocument/2006/relationships/hyperlink" Target="https://www.world.tax/news/cayman-islands-brazil-tax-information-exchange-agreement-signed.php" TargetMode="External"/><Relationship Id="rId41" Type="http://schemas.openxmlformats.org/officeDocument/2006/relationships/hyperlink" Target="https://www.world.tax/news/guernsey-lesotho-tax-information-exchange-agreement-enters-into-force.php" TargetMode="External"/><Relationship Id="rId54" Type="http://schemas.openxmlformats.org/officeDocument/2006/relationships/hyperlink" Target="https://www.world.tax/news/hong-kong-iceland-tax-information-exchange-agreement-enters-into-force.php" TargetMode="External"/><Relationship Id="rId62" Type="http://schemas.openxmlformats.org/officeDocument/2006/relationships/hyperlink" Target="https://www.world.tax/news/british-virgin-islands-isle-of-man-tax-information-exchange-agreement-enters-into-force.php" TargetMode="External"/><Relationship Id="rId70" Type="http://schemas.openxmlformats.org/officeDocument/2006/relationships/hyperlink" Target="https://www.world.tax/news/jersey-belgium-tax-information-exchange-agreement-signed.php" TargetMode="External"/><Relationship Id="rId75" Type="http://schemas.openxmlformats.org/officeDocument/2006/relationships/hyperlink" Target="https://www.world.tax/news/jersey-slovenia-tax-information-exchange-agreement-enters-into-force.php" TargetMode="External"/><Relationship Id="rId83" Type="http://schemas.openxmlformats.org/officeDocument/2006/relationships/hyperlink" Target="https://www.world.tax/news/liechtenstein-south-africa-tax-information-exchange-agreement-enters-into-force.php" TargetMode="External"/><Relationship Id="rId88" Type="http://schemas.openxmlformats.org/officeDocument/2006/relationships/hyperlink" Target="https://www.world.tax/news/cayman-islands-seychelles-tax-information-exchange-agreement-signed.php" TargetMode="External"/><Relationship Id="rId91" Type="http://schemas.openxmlformats.org/officeDocument/2006/relationships/hyperlink" Target="https://www.world.tax/news/seychelles-switzerland-tax-information-exchange-agreement-signed.php" TargetMode="External"/><Relationship Id="rId96" Type="http://schemas.openxmlformats.org/officeDocument/2006/relationships/hyperlink" Target="https://www.world.tax/news/guernsey-switzerland-tax-information-exchange-agreement-signed.php" TargetMode="External"/><Relationship Id="rId1" Type="http://schemas.openxmlformats.org/officeDocument/2006/relationships/hyperlink" Target="https://www.world.tax/news/andorra-italy-tax-information-exchange-agreement-signed.php" TargetMode="External"/><Relationship Id="rId6" Type="http://schemas.openxmlformats.org/officeDocument/2006/relationships/hyperlink" Target="https://www.world.tax/news/bahamas-indonesia-tax-information-exchange-agreement-signed.php" TargetMode="External"/><Relationship Id="rId15" Type="http://schemas.openxmlformats.org/officeDocument/2006/relationships/hyperlink" Target="https://www.world.tax/news/bermuda-turkey-tax-information-exchange-agreement-enters-into-force.php" TargetMode="External"/><Relationship Id="rId23" Type="http://schemas.openxmlformats.org/officeDocument/2006/relationships/hyperlink" Target="https://www.world.tax/news/cayman-islands-poland-tax-information-exchange-agreement-enters-into-force.php" TargetMode="External"/><Relationship Id="rId28" Type="http://schemas.openxmlformats.org/officeDocument/2006/relationships/hyperlink" Target="https://www.world.tax/news/guernsey-gibraltar-tax-information-exchange-agreement-becomes-effective.php" TargetMode="External"/><Relationship Id="rId36" Type="http://schemas.openxmlformats.org/officeDocument/2006/relationships/hyperlink" Target="https://www.world.tax/news/guernsey-bulgaria-tax-information-exchange-agreement-signed.php" TargetMode="External"/><Relationship Id="rId49" Type="http://schemas.openxmlformats.org/officeDocument/2006/relationships/hyperlink" Target="https://www.world.tax/news/guernsey-turks-and-caicos-islands-tax-information-exchange-agreement-enters-into-force.php" TargetMode="External"/><Relationship Id="rId57" Type="http://schemas.openxmlformats.org/officeDocument/2006/relationships/hyperlink" Target="https://www.world.tax/news/hong-kong-united-states-tax-information-exchange-agreement-enters-into-force.php" TargetMode="External"/><Relationship Id="rId106" Type="http://schemas.openxmlformats.org/officeDocument/2006/relationships/hyperlink" Target="https://www.world.tax/news/united-arab-emirates-sweden-tax-information-exchange-agreement-signed.php" TargetMode="External"/><Relationship Id="rId10" Type="http://schemas.openxmlformats.org/officeDocument/2006/relationships/hyperlink" Target="https://www.world.tax/news/belize-poland-tax-information-exchange-agreements-signed.php" TargetMode="External"/><Relationship Id="rId31" Type="http://schemas.openxmlformats.org/officeDocument/2006/relationships/hyperlink" Target="https://www.world.tax/news/guernsey-austria-tax-information-exchange-agreement-enters-into-force.php" TargetMode="External"/><Relationship Id="rId44" Type="http://schemas.openxmlformats.org/officeDocument/2006/relationships/hyperlink" Target="https://www.world.tax/news/guernsey-macau-tax-information-exchange-agreement-enters-into-force.php" TargetMode="External"/><Relationship Id="rId52" Type="http://schemas.openxmlformats.org/officeDocument/2006/relationships/hyperlink" Target="https://www.world.tax/news/hong-kong-faroe-islands-tax-information-exchange-agreement-enters-into-force.php" TargetMode="External"/><Relationship Id="rId60" Type="http://schemas.openxmlformats.org/officeDocument/2006/relationships/hyperlink" Target="https://www.world.tax/news/ireland-vanuatu-tax-information-exchange-agreement-enters-into-force.php" TargetMode="External"/><Relationship Id="rId65" Type="http://schemas.openxmlformats.org/officeDocument/2006/relationships/hyperlink" Target="https://www.world.tax/news/isle-of-man-italy-tax-information-exchange-agreement-enters-into-force.php" TargetMode="External"/><Relationship Id="rId73" Type="http://schemas.openxmlformats.org/officeDocument/2006/relationships/hyperlink" Target="https://www.world.tax/news/jersey-italy-tax-information-exchange-agreement-enters-into-force.php" TargetMode="External"/><Relationship Id="rId78" Type="http://schemas.openxmlformats.org/officeDocument/2006/relationships/hyperlink" Target="https://www.world.tax/news/jersey-switzerland-tax-information-exchange-agreement-enters-into-force.php" TargetMode="External"/><Relationship Id="rId81" Type="http://schemas.openxmlformats.org/officeDocument/2006/relationships/hyperlink" Target="https://www.world.tax/news/guernsey-liechtenstein-tax-information-exchange-agreement-enters-into-force.php" TargetMode="External"/><Relationship Id="rId86" Type="http://schemas.openxmlformats.org/officeDocument/2006/relationships/hyperlink" Target="https://www.world.tax/news/mauritius-austria-tax-information-exchange-agreement-signed.php" TargetMode="External"/><Relationship Id="rId94" Type="http://schemas.openxmlformats.org/officeDocument/2006/relationships/hyperlink" Target="https://www.world.tax/news/switzerland-greenland-tax-information-exchange-agreement-signed.php" TargetMode="External"/><Relationship Id="rId99" Type="http://schemas.openxmlformats.org/officeDocument/2006/relationships/hyperlink" Target="https://www.world.tax/news/switzerland-san-marino-tax-information-exchange-agreement-signed.php" TargetMode="External"/><Relationship Id="rId101" Type="http://schemas.openxmlformats.org/officeDocument/2006/relationships/hyperlink" Target="https://www.world.tax/news/united-arab-emirates-denmark-tax-information-exchange-agreement-signed.php" TargetMode="External"/><Relationship Id="rId4" Type="http://schemas.openxmlformats.org/officeDocument/2006/relationships/hyperlink" Target="https://www.world.tax/news/bahamas-belgium-tax-information-exchange-agreement-enters-into-force.php" TargetMode="External"/><Relationship Id="rId9" Type="http://schemas.openxmlformats.org/officeDocument/2006/relationships/hyperlink" Target="https://www.world.tax/news/belize-india-tax-information-exchange-agreement-enters-into-force.php" TargetMode="External"/><Relationship Id="rId13" Type="http://schemas.openxmlformats.org/officeDocument/2006/relationships/hyperlink" Target="https://www.world.tax/news/bermuda-poland-tax-information-exchange-agreement-enters-into-force.php" TargetMode="External"/><Relationship Id="rId18" Type="http://schemas.openxmlformats.org/officeDocument/2006/relationships/hyperlink" Target="https://www.world.tax/news/british-virgin-islands-poland-tax-information-exchange-agreement-signed.php" TargetMode="External"/><Relationship Id="rId39" Type="http://schemas.openxmlformats.org/officeDocument/2006/relationships/hyperlink" Target="https://www.world.tax/news/guernsey-gibraltar-tax-information-exchange-agreement-becomes-effective.php" TargetMode="External"/><Relationship Id="rId34" Type="http://schemas.openxmlformats.org/officeDocument/2006/relationships/hyperlink" Target="https://www.world.tax/news/guernsey-brazil-tax-information-exchange-agreement-signed.php" TargetMode="External"/><Relationship Id="rId50" Type="http://schemas.openxmlformats.org/officeDocument/2006/relationships/hyperlink" Target="https://www.world.tax/news/guernsey-uruguay-tax-information-exchange-agreement-signed.php" TargetMode="External"/><Relationship Id="rId55" Type="http://schemas.openxmlformats.org/officeDocument/2006/relationships/hyperlink" Target="https://www.world.tax/news/hong-kong-norway-tax-information-exchange-agreement-enters-into-force.php" TargetMode="External"/><Relationship Id="rId76" Type="http://schemas.openxmlformats.org/officeDocument/2006/relationships/hyperlink" Target="https://www.world.tax/news/jersey-south-korea-tax-information-exchange-agreement-signed.php" TargetMode="External"/><Relationship Id="rId97" Type="http://schemas.openxmlformats.org/officeDocument/2006/relationships/hyperlink" Target="https://www.world.tax/news/isle-of-man-switzerland-tax-information-exchange-agreement-enters-into-force.php" TargetMode="External"/><Relationship Id="rId104" Type="http://schemas.openxmlformats.org/officeDocument/2006/relationships/hyperlink" Target="https://www.world.tax/news/united-arab-emirates-denmark-tax-information-exchange-agreement-signed.php" TargetMode="External"/><Relationship Id="rId7" Type="http://schemas.openxmlformats.org/officeDocument/2006/relationships/hyperlink" Target="https://www.world.tax/news/bahamas-poland-tax-information-exchange-agreement-enters-into-force.php" TargetMode="External"/><Relationship Id="rId71" Type="http://schemas.openxmlformats.org/officeDocument/2006/relationships/hyperlink" Target="https://www.world.tax/news/jersey-brazil-tax-information-exchange-agreement-signed.php" TargetMode="External"/><Relationship Id="rId92" Type="http://schemas.openxmlformats.org/officeDocument/2006/relationships/hyperlink" Target="https://www.world.tax/news/switzerland-andorra-tax-information-exchange-agreement-enters-into-force.php" TargetMode="External"/><Relationship Id="rId2" Type="http://schemas.openxmlformats.org/officeDocument/2006/relationships/hyperlink" Target="https://www.world.tax/news/andorra-portugal-tax-treaty-signed.php" TargetMode="External"/><Relationship Id="rId29" Type="http://schemas.openxmlformats.org/officeDocument/2006/relationships/hyperlink" Target="https://www.world.tax/news/gibraltar-italy-tax-information-exchange-agreement-enters-into-force.php" TargetMode="External"/><Relationship Id="rId24" Type="http://schemas.openxmlformats.org/officeDocument/2006/relationships/hyperlink" Target="https://www.world.tax/news/cayman-islands-seychelles-tax-information-exchange-agreement-signed.php" TargetMode="External"/><Relationship Id="rId40" Type="http://schemas.openxmlformats.org/officeDocument/2006/relationships/hyperlink" Target="https://www.world.tax/news/guernsey-latvia-tax-information-exchange-agreement-enters-into-force.php" TargetMode="External"/><Relationship Id="rId45" Type="http://schemas.openxmlformats.org/officeDocument/2006/relationships/hyperlink" Target="https://www.world.tax/news/guernsey-slovakia-tax-information-exchange-agreement-enters-into-force.php" TargetMode="External"/><Relationship Id="rId66" Type="http://schemas.openxmlformats.org/officeDocument/2006/relationships/hyperlink" Target="https://www.world.tax/news/isle-of-man-lesotho-tax-information-exchange-agreement-enters-into-force.php" TargetMode="External"/><Relationship Id="rId87" Type="http://schemas.openxmlformats.org/officeDocument/2006/relationships/hyperlink" Target="https://www.world.tax/news/mauritius-united-states-tax-information-exchange-agreement-signed.php" TargetMode="External"/><Relationship Id="rId61" Type="http://schemas.openxmlformats.org/officeDocument/2006/relationships/hyperlink" Target="https://www.world.tax/news/isle-of-man-botswana-tax-information-exchange-agreement-signed.php" TargetMode="External"/><Relationship Id="rId82" Type="http://schemas.openxmlformats.org/officeDocument/2006/relationships/hyperlink" Target="https://www.world.tax/news/liechtenstein-italy-tax-information-exchange-agreement-signed.php" TargetMode="External"/><Relationship Id="rId19" Type="http://schemas.openxmlformats.org/officeDocument/2006/relationships/hyperlink" Target="https://www.world.tax/news/cayman-islands-belgium-tax-information-exchange-agreement-signed.php" TargetMode="External"/><Relationship Id="rId14" Type="http://schemas.openxmlformats.org/officeDocument/2006/relationships/hyperlink" Target="https://www.world.tax/news/bermuda-south-korea-tax-information-exchange-agreement-enters-into-force.php" TargetMode="External"/><Relationship Id="rId30" Type="http://schemas.openxmlformats.org/officeDocument/2006/relationships/hyperlink" Target="https://www.world.tax/news/gibraltar-mexico-tax-information-exchange-agreement-enters-into-force.php" TargetMode="External"/><Relationship Id="rId35" Type="http://schemas.openxmlformats.org/officeDocument/2006/relationships/hyperlink" Target="https://www.world.tax/news/british-virgin-islands-guernsey-tax-information-exchange-agreement-enters-into-force.php" TargetMode="External"/><Relationship Id="rId56" Type="http://schemas.openxmlformats.org/officeDocument/2006/relationships/hyperlink" Target="https://www.world.tax/news/hong-kong-sweden-tax-information-exchange-agreement-enters-into-force.php" TargetMode="External"/><Relationship Id="rId77" Type="http://schemas.openxmlformats.org/officeDocument/2006/relationships/hyperlink" Target="https://www.world.tax/news/jersey-spain-tax-information-exchange-agreement-signed.php" TargetMode="External"/><Relationship Id="rId100" Type="http://schemas.openxmlformats.org/officeDocument/2006/relationships/hyperlink" Target="https://www.world.tax/news/seychelles-switzerland-tax-information-exchange-agreement-signed.php" TargetMode="External"/><Relationship Id="rId105" Type="http://schemas.openxmlformats.org/officeDocument/2006/relationships/hyperlink" Target="https://www.world.tax/news/united-arab-emirates-norway-tax-information-exchange-agreement-signed.php" TargetMode="External"/><Relationship Id="rId8" Type="http://schemas.openxmlformats.org/officeDocument/2006/relationships/hyperlink" Target="https://www.world.tax/news/belize-czech-republic-tax-information-exchange-agreement-signed.php" TargetMode="External"/><Relationship Id="rId51" Type="http://schemas.openxmlformats.org/officeDocument/2006/relationships/hyperlink" Target="https://www.world.tax/news/hong-kong-denmark-tax-information-exchange-agreement-signed.php" TargetMode="External"/><Relationship Id="rId72" Type="http://schemas.openxmlformats.org/officeDocument/2006/relationships/hyperlink" Target="https://www.world.tax/news/jersey-hungary-tax-information-exchange-agreement-enters-into-force.php" TargetMode="External"/><Relationship Id="rId93" Type="http://schemas.openxmlformats.org/officeDocument/2006/relationships/hyperlink" Target="https://www.world.tax/news/belize-switzerland-tax-information-exchange-agreement-enters-into-force.php" TargetMode="External"/><Relationship Id="rId98" Type="http://schemas.openxmlformats.org/officeDocument/2006/relationships/hyperlink" Target="https://www.world.tax/news/jersey-switzerland-tax-information-exchange-agreement-enters-into-force.php" TargetMode="External"/><Relationship Id="rId3" Type="http://schemas.openxmlformats.org/officeDocument/2006/relationships/hyperlink" Target="https://www.world.tax/news/switzerland-andorra-tax-information-exchange-agreement-enters-into-force.php" TargetMode="External"/><Relationship Id="rId25" Type="http://schemas.openxmlformats.org/officeDocument/2006/relationships/hyperlink" Target="https://www.world.tax/news/cayman-islands-united-states-tax-information-exchange-agreement-enters-into-force.php" TargetMode="External"/><Relationship Id="rId46" Type="http://schemas.openxmlformats.org/officeDocument/2006/relationships/hyperlink" Target="https://www.world.tax/news/guernsey-spain-tax-information-exchange-agreement-signed.php" TargetMode="External"/><Relationship Id="rId67" Type="http://schemas.openxmlformats.org/officeDocument/2006/relationships/hyperlink" Target="https://www.world.tax/news/isle-of-man-swaziland-tax-information-exchange-agreement-signed.ph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17" Type="http://schemas.openxmlformats.org/officeDocument/2006/relationships/hyperlink" Target="https://thebanks.eu/banks/18198" TargetMode="External"/><Relationship Id="rId21" Type="http://schemas.openxmlformats.org/officeDocument/2006/relationships/hyperlink" Target="https://thebanks.eu/banks/18278" TargetMode="External"/><Relationship Id="rId42" Type="http://schemas.openxmlformats.org/officeDocument/2006/relationships/hyperlink" Target="https://thebanks.eu/banks/18260" TargetMode="External"/><Relationship Id="rId63" Type="http://schemas.openxmlformats.org/officeDocument/2006/relationships/hyperlink" Target="https://thebanks.eu/banks/18680" TargetMode="External"/><Relationship Id="rId84" Type="http://schemas.openxmlformats.org/officeDocument/2006/relationships/hyperlink" Target="https://thebanks.eu/banks/18289" TargetMode="External"/><Relationship Id="rId138" Type="http://schemas.openxmlformats.org/officeDocument/2006/relationships/hyperlink" Target="https://thebanks.eu/banks/18130" TargetMode="External"/><Relationship Id="rId159" Type="http://schemas.openxmlformats.org/officeDocument/2006/relationships/hyperlink" Target="https://thebanks.eu/banks/18161" TargetMode="External"/><Relationship Id="rId170" Type="http://schemas.openxmlformats.org/officeDocument/2006/relationships/hyperlink" Target="https://thebanks.eu/banks/18148" TargetMode="External"/><Relationship Id="rId191" Type="http://schemas.openxmlformats.org/officeDocument/2006/relationships/hyperlink" Target="https://thebanks.eu/banks/18134" TargetMode="External"/><Relationship Id="rId205" Type="http://schemas.openxmlformats.org/officeDocument/2006/relationships/hyperlink" Target="https://thebanks.eu/banks/18115" TargetMode="External"/><Relationship Id="rId226" Type="http://schemas.openxmlformats.org/officeDocument/2006/relationships/vmlDrawing" Target="../drawings/vmlDrawing2.vml"/><Relationship Id="rId107" Type="http://schemas.openxmlformats.org/officeDocument/2006/relationships/hyperlink" Target="https://thebanks.eu/banks/18160" TargetMode="External"/><Relationship Id="rId11" Type="http://schemas.openxmlformats.org/officeDocument/2006/relationships/hyperlink" Target="https://thebanks.eu/banks/18290" TargetMode="External"/><Relationship Id="rId32" Type="http://schemas.openxmlformats.org/officeDocument/2006/relationships/hyperlink" Target="https://thebanks.eu/banks/18269" TargetMode="External"/><Relationship Id="rId53" Type="http://schemas.openxmlformats.org/officeDocument/2006/relationships/hyperlink" Target="https://thebanks.eu/banks/18251" TargetMode="External"/><Relationship Id="rId74" Type="http://schemas.openxmlformats.org/officeDocument/2006/relationships/hyperlink" Target="https://thebanks.eu/banks/18310" TargetMode="External"/><Relationship Id="rId128" Type="http://schemas.openxmlformats.org/officeDocument/2006/relationships/hyperlink" Target="https://thebanks.eu/banks/18191" TargetMode="External"/><Relationship Id="rId149" Type="http://schemas.openxmlformats.org/officeDocument/2006/relationships/hyperlink" Target="https://thebanks.eu/banks/18308" TargetMode="External"/><Relationship Id="rId5" Type="http://schemas.openxmlformats.org/officeDocument/2006/relationships/hyperlink" Target="https://thebanks.eu/banks/18296" TargetMode="External"/><Relationship Id="rId95" Type="http://schemas.openxmlformats.org/officeDocument/2006/relationships/hyperlink" Target="https://thebanks.eu/banks/18213" TargetMode="External"/><Relationship Id="rId160" Type="http://schemas.openxmlformats.org/officeDocument/2006/relationships/hyperlink" Target="https://thebanks.eu/banks/18158" TargetMode="External"/><Relationship Id="rId181" Type="http://schemas.openxmlformats.org/officeDocument/2006/relationships/hyperlink" Target="https://thebanks.eu/banks/18143" TargetMode="External"/><Relationship Id="rId216" Type="http://schemas.openxmlformats.org/officeDocument/2006/relationships/hyperlink" Target="https://thebanks.eu/banks/18111" TargetMode="External"/><Relationship Id="rId22" Type="http://schemas.openxmlformats.org/officeDocument/2006/relationships/hyperlink" Target="https://thebanks.eu/banks/18277" TargetMode="External"/><Relationship Id="rId43" Type="http://schemas.openxmlformats.org/officeDocument/2006/relationships/hyperlink" Target="https://thebanks.eu/banks/18259" TargetMode="External"/><Relationship Id="rId64" Type="http://schemas.openxmlformats.org/officeDocument/2006/relationships/hyperlink" Target="https://thebanks.eu/banks/18241" TargetMode="External"/><Relationship Id="rId118" Type="http://schemas.openxmlformats.org/officeDocument/2006/relationships/hyperlink" Target="https://thebanks.eu/banks/18197" TargetMode="External"/><Relationship Id="rId139" Type="http://schemas.openxmlformats.org/officeDocument/2006/relationships/hyperlink" Target="https://thebanks.eu/banks/18178" TargetMode="External"/><Relationship Id="rId85" Type="http://schemas.openxmlformats.org/officeDocument/2006/relationships/hyperlink" Target="https://thebanks.eu/banks/18314" TargetMode="External"/><Relationship Id="rId150" Type="http://schemas.openxmlformats.org/officeDocument/2006/relationships/hyperlink" Target="https://thebanks.eu/banks/18183" TargetMode="External"/><Relationship Id="rId171" Type="http://schemas.openxmlformats.org/officeDocument/2006/relationships/hyperlink" Target="https://thebanks.eu/banks/18147" TargetMode="External"/><Relationship Id="rId192" Type="http://schemas.openxmlformats.org/officeDocument/2006/relationships/hyperlink" Target="https://thebanks.eu/banks/18133" TargetMode="External"/><Relationship Id="rId206" Type="http://schemas.openxmlformats.org/officeDocument/2006/relationships/hyperlink" Target="https://thebanks.eu/banks/18113" TargetMode="External"/><Relationship Id="rId227" Type="http://schemas.openxmlformats.org/officeDocument/2006/relationships/comments" Target="../comments2.xml"/><Relationship Id="rId12" Type="http://schemas.openxmlformats.org/officeDocument/2006/relationships/hyperlink" Target="https://thebanks.eu/banks/18288" TargetMode="External"/><Relationship Id="rId33" Type="http://schemas.openxmlformats.org/officeDocument/2006/relationships/hyperlink" Target="https://thebanks.eu/banks/18268" TargetMode="External"/><Relationship Id="rId108" Type="http://schemas.openxmlformats.org/officeDocument/2006/relationships/hyperlink" Target="https://thebanks.eu/banks/18205" TargetMode="External"/><Relationship Id="rId129" Type="http://schemas.openxmlformats.org/officeDocument/2006/relationships/hyperlink" Target="https://thebanks.eu/banks/18188" TargetMode="External"/><Relationship Id="rId54" Type="http://schemas.openxmlformats.org/officeDocument/2006/relationships/hyperlink" Target="https://thebanks.eu/banks/18249" TargetMode="External"/><Relationship Id="rId75" Type="http://schemas.openxmlformats.org/officeDocument/2006/relationships/hyperlink" Target="https://thebanks.eu/banks/18230" TargetMode="External"/><Relationship Id="rId96" Type="http://schemas.openxmlformats.org/officeDocument/2006/relationships/hyperlink" Target="https://thebanks.eu/banks/18212" TargetMode="External"/><Relationship Id="rId140" Type="http://schemas.openxmlformats.org/officeDocument/2006/relationships/hyperlink" Target="https://thebanks.eu/banks/18176" TargetMode="External"/><Relationship Id="rId161" Type="http://schemas.openxmlformats.org/officeDocument/2006/relationships/hyperlink" Target="https://thebanks.eu/banks/18157" TargetMode="External"/><Relationship Id="rId182" Type="http://schemas.openxmlformats.org/officeDocument/2006/relationships/hyperlink" Target="https://thebanks.eu/banks/18142" TargetMode="External"/><Relationship Id="rId217" Type="http://schemas.openxmlformats.org/officeDocument/2006/relationships/hyperlink" Target="https://thebanks.eu/banks/18110" TargetMode="External"/><Relationship Id="rId6" Type="http://schemas.openxmlformats.org/officeDocument/2006/relationships/hyperlink" Target="https://thebanks.eu/banks/18295" TargetMode="External"/><Relationship Id="rId23" Type="http://schemas.openxmlformats.org/officeDocument/2006/relationships/hyperlink" Target="https://thebanks.eu/banks/18277" TargetMode="External"/><Relationship Id="rId119" Type="http://schemas.openxmlformats.org/officeDocument/2006/relationships/hyperlink" Target="https://thebanks.eu/banks/18196" TargetMode="External"/><Relationship Id="rId44" Type="http://schemas.openxmlformats.org/officeDocument/2006/relationships/hyperlink" Target="https://thebanks.eu/banks/18313" TargetMode="External"/><Relationship Id="rId65" Type="http://schemas.openxmlformats.org/officeDocument/2006/relationships/hyperlink" Target="https://thebanks.eu/banks/18240" TargetMode="External"/><Relationship Id="rId86" Type="http://schemas.openxmlformats.org/officeDocument/2006/relationships/hyperlink" Target="https://thebanks.eu/banks/18222" TargetMode="External"/><Relationship Id="rId130" Type="http://schemas.openxmlformats.org/officeDocument/2006/relationships/hyperlink" Target="https://thebanks.eu/banks/18187" TargetMode="External"/><Relationship Id="rId151" Type="http://schemas.openxmlformats.org/officeDocument/2006/relationships/hyperlink" Target="https://thebanks.eu/banks/18179" TargetMode="External"/><Relationship Id="rId172" Type="http://schemas.openxmlformats.org/officeDocument/2006/relationships/hyperlink" Target="https://thebanks.eu/banks/18146" TargetMode="External"/><Relationship Id="rId193" Type="http://schemas.openxmlformats.org/officeDocument/2006/relationships/hyperlink" Target="https://thebanks.eu/banks/18132" TargetMode="External"/><Relationship Id="rId207" Type="http://schemas.openxmlformats.org/officeDocument/2006/relationships/hyperlink" Target="https://thebanks.eu/banks/18167" TargetMode="External"/><Relationship Id="rId13" Type="http://schemas.openxmlformats.org/officeDocument/2006/relationships/hyperlink" Target="https://thebanks.eu/banks/18287" TargetMode="External"/><Relationship Id="rId109" Type="http://schemas.openxmlformats.org/officeDocument/2006/relationships/hyperlink" Target="https://thebanks.eu/banks/18204" TargetMode="External"/><Relationship Id="rId34" Type="http://schemas.openxmlformats.org/officeDocument/2006/relationships/hyperlink" Target="https://thebanks.eu/banks/18267" TargetMode="External"/><Relationship Id="rId55" Type="http://schemas.openxmlformats.org/officeDocument/2006/relationships/hyperlink" Target="https://thebanks.eu/banks/18311" TargetMode="External"/><Relationship Id="rId76" Type="http://schemas.openxmlformats.org/officeDocument/2006/relationships/hyperlink" Target="https://thebanks.eu/banks/18231" TargetMode="External"/><Relationship Id="rId97" Type="http://schemas.openxmlformats.org/officeDocument/2006/relationships/hyperlink" Target="https://thebanks.eu/banks/18210" TargetMode="External"/><Relationship Id="rId120" Type="http://schemas.openxmlformats.org/officeDocument/2006/relationships/hyperlink" Target="https://thebanks.eu/banks/18305" TargetMode="External"/><Relationship Id="rId141" Type="http://schemas.openxmlformats.org/officeDocument/2006/relationships/hyperlink" Target="https://thebanks.eu/banks/18302" TargetMode="External"/><Relationship Id="rId7" Type="http://schemas.openxmlformats.org/officeDocument/2006/relationships/hyperlink" Target="https://thebanks.eu/banks/18294" TargetMode="External"/><Relationship Id="rId162" Type="http://schemas.openxmlformats.org/officeDocument/2006/relationships/hyperlink" Target="https://thebanks.eu/banks/18156" TargetMode="External"/><Relationship Id="rId183" Type="http://schemas.openxmlformats.org/officeDocument/2006/relationships/hyperlink" Target="https://thebanks.eu/banks/18141" TargetMode="External"/><Relationship Id="rId218" Type="http://schemas.openxmlformats.org/officeDocument/2006/relationships/hyperlink" Target="https://thebanks.eu/banks/18109" TargetMode="External"/><Relationship Id="rId24" Type="http://schemas.openxmlformats.org/officeDocument/2006/relationships/hyperlink" Target="https://thebanks.eu/banks/18276" TargetMode="External"/><Relationship Id="rId45" Type="http://schemas.openxmlformats.org/officeDocument/2006/relationships/hyperlink" Target="https://thebanks.eu/banks/18258" TargetMode="External"/><Relationship Id="rId66" Type="http://schemas.openxmlformats.org/officeDocument/2006/relationships/hyperlink" Target="https://thebanks.eu/banks/18239" TargetMode="External"/><Relationship Id="rId87" Type="http://schemas.openxmlformats.org/officeDocument/2006/relationships/hyperlink" Target="https://thebanks.eu/banks/18221" TargetMode="External"/><Relationship Id="rId110" Type="http://schemas.openxmlformats.org/officeDocument/2006/relationships/hyperlink" Target="https://thebanks.eu/banks/18307" TargetMode="External"/><Relationship Id="rId131" Type="http://schemas.openxmlformats.org/officeDocument/2006/relationships/hyperlink" Target="https://thebanks.eu/banks/18186" TargetMode="External"/><Relationship Id="rId152" Type="http://schemas.openxmlformats.org/officeDocument/2006/relationships/hyperlink" Target="https://thebanks.eu/banks/18177" TargetMode="External"/><Relationship Id="rId173" Type="http://schemas.openxmlformats.org/officeDocument/2006/relationships/hyperlink" Target="https://thebanks.eu/banks/18675" TargetMode="External"/><Relationship Id="rId194" Type="http://schemas.openxmlformats.org/officeDocument/2006/relationships/hyperlink" Target="https://thebanks.eu/banks/18131" TargetMode="External"/><Relationship Id="rId208" Type="http://schemas.openxmlformats.org/officeDocument/2006/relationships/hyperlink" Target="https://thebanks.eu/banks/18166" TargetMode="External"/><Relationship Id="rId14" Type="http://schemas.openxmlformats.org/officeDocument/2006/relationships/hyperlink" Target="https://thebanks.eu/banks/18286" TargetMode="External"/><Relationship Id="rId35" Type="http://schemas.openxmlformats.org/officeDocument/2006/relationships/hyperlink" Target="https://thebanks.eu/banks/18266" TargetMode="External"/><Relationship Id="rId56" Type="http://schemas.openxmlformats.org/officeDocument/2006/relationships/hyperlink" Target="https://thebanks.eu/banks/18248" TargetMode="External"/><Relationship Id="rId77" Type="http://schemas.openxmlformats.org/officeDocument/2006/relationships/hyperlink" Target="https://thebanks.eu/banks/18229" TargetMode="External"/><Relationship Id="rId100" Type="http://schemas.openxmlformats.org/officeDocument/2006/relationships/hyperlink" Target="https://thebanks.eu/banks/18207" TargetMode="External"/><Relationship Id="rId8" Type="http://schemas.openxmlformats.org/officeDocument/2006/relationships/hyperlink" Target="https://thebanks.eu/banks/18293" TargetMode="External"/><Relationship Id="rId98" Type="http://schemas.openxmlformats.org/officeDocument/2006/relationships/hyperlink" Target="https://thebanks.eu/banks/18209" TargetMode="External"/><Relationship Id="rId121" Type="http://schemas.openxmlformats.org/officeDocument/2006/relationships/hyperlink" Target="https://thebanks.eu/banks/18195" TargetMode="External"/><Relationship Id="rId142" Type="http://schemas.openxmlformats.org/officeDocument/2006/relationships/hyperlink" Target="https://thebanks.eu/banks/18175" TargetMode="External"/><Relationship Id="rId163" Type="http://schemas.openxmlformats.org/officeDocument/2006/relationships/hyperlink" Target="https://thebanks.eu/banks/18155" TargetMode="External"/><Relationship Id="rId184" Type="http://schemas.openxmlformats.org/officeDocument/2006/relationships/hyperlink" Target="https://thebanks.eu/banks/18140" TargetMode="External"/><Relationship Id="rId219" Type="http://schemas.openxmlformats.org/officeDocument/2006/relationships/hyperlink" Target="https://thebanks.eu/banks/18108" TargetMode="External"/><Relationship Id="rId3" Type="http://schemas.openxmlformats.org/officeDocument/2006/relationships/hyperlink" Target="https://thebanks.eu/banks/18298" TargetMode="External"/><Relationship Id="rId214" Type="http://schemas.openxmlformats.org/officeDocument/2006/relationships/hyperlink" Target="https://thebanks.eu/banks/18120" TargetMode="External"/><Relationship Id="rId25" Type="http://schemas.openxmlformats.org/officeDocument/2006/relationships/hyperlink" Target="https://thebanks.eu/banks/18275" TargetMode="External"/><Relationship Id="rId46" Type="http://schemas.openxmlformats.org/officeDocument/2006/relationships/hyperlink" Target="https://thebanks.eu/banks/18257" TargetMode="External"/><Relationship Id="rId67" Type="http://schemas.openxmlformats.org/officeDocument/2006/relationships/hyperlink" Target="https://thebanks.eu/banks/18236" TargetMode="External"/><Relationship Id="rId116" Type="http://schemas.openxmlformats.org/officeDocument/2006/relationships/hyperlink" Target="https://thebanks.eu/banks/18306" TargetMode="External"/><Relationship Id="rId137" Type="http://schemas.openxmlformats.org/officeDocument/2006/relationships/hyperlink" Target="https://thebanks.eu/banks/18180" TargetMode="External"/><Relationship Id="rId158" Type="http://schemas.openxmlformats.org/officeDocument/2006/relationships/hyperlink" Target="https://thebanks.eu/banks/18168" TargetMode="External"/><Relationship Id="rId20" Type="http://schemas.openxmlformats.org/officeDocument/2006/relationships/hyperlink" Target="https://thebanks.eu/banks/18279" TargetMode="External"/><Relationship Id="rId41" Type="http://schemas.openxmlformats.org/officeDocument/2006/relationships/hyperlink" Target="https://thebanks.eu/banks/18260" TargetMode="External"/><Relationship Id="rId62" Type="http://schemas.openxmlformats.org/officeDocument/2006/relationships/hyperlink" Target="https://thebanks.eu/banks/18242" TargetMode="External"/><Relationship Id="rId83" Type="http://schemas.openxmlformats.org/officeDocument/2006/relationships/hyperlink" Target="https://thebanks.eu/banks/18224" TargetMode="External"/><Relationship Id="rId88" Type="http://schemas.openxmlformats.org/officeDocument/2006/relationships/hyperlink" Target="https://thebanks.eu/banks/18223" TargetMode="External"/><Relationship Id="rId111" Type="http://schemas.openxmlformats.org/officeDocument/2006/relationships/hyperlink" Target="https://thebanks.eu/banks/18201" TargetMode="External"/><Relationship Id="rId132" Type="http://schemas.openxmlformats.org/officeDocument/2006/relationships/hyperlink" Target="https://thebanks.eu/banks/18185" TargetMode="External"/><Relationship Id="rId153" Type="http://schemas.openxmlformats.org/officeDocument/2006/relationships/hyperlink" Target="https://thebanks.eu/banks/18677" TargetMode="External"/><Relationship Id="rId174" Type="http://schemas.openxmlformats.org/officeDocument/2006/relationships/hyperlink" Target="https://thebanks.eu/banks/18145" TargetMode="External"/><Relationship Id="rId179" Type="http://schemas.openxmlformats.org/officeDocument/2006/relationships/hyperlink" Target="https://thebanks.eu/banks/18122" TargetMode="External"/><Relationship Id="rId195" Type="http://schemas.openxmlformats.org/officeDocument/2006/relationships/hyperlink" Target="https://thebanks.eu/banks/18129" TargetMode="External"/><Relationship Id="rId209" Type="http://schemas.openxmlformats.org/officeDocument/2006/relationships/hyperlink" Target="https://thebanks.eu/banks/18165" TargetMode="External"/><Relationship Id="rId190" Type="http://schemas.openxmlformats.org/officeDocument/2006/relationships/hyperlink" Target="https://thebanks.eu/banks/18135" TargetMode="External"/><Relationship Id="rId204" Type="http://schemas.openxmlformats.org/officeDocument/2006/relationships/hyperlink" Target="https://thebanks.eu/banks/18116" TargetMode="External"/><Relationship Id="rId220" Type="http://schemas.openxmlformats.org/officeDocument/2006/relationships/hyperlink" Target="https://thebanks.eu/banks/18107" TargetMode="External"/><Relationship Id="rId225" Type="http://schemas.openxmlformats.org/officeDocument/2006/relationships/printerSettings" Target="../printerSettings/printerSettings6.bin"/><Relationship Id="rId15" Type="http://schemas.openxmlformats.org/officeDocument/2006/relationships/hyperlink" Target="https://thebanks.eu/banks/18285" TargetMode="External"/><Relationship Id="rId36" Type="http://schemas.openxmlformats.org/officeDocument/2006/relationships/hyperlink" Target="https://thebanks.eu/banks/18265" TargetMode="External"/><Relationship Id="rId57" Type="http://schemas.openxmlformats.org/officeDocument/2006/relationships/hyperlink" Target="https://thebanks.eu/banks/18245" TargetMode="External"/><Relationship Id="rId106" Type="http://schemas.openxmlformats.org/officeDocument/2006/relationships/hyperlink" Target="https://thebanks.eu/banks/18202" TargetMode="External"/><Relationship Id="rId127" Type="http://schemas.openxmlformats.org/officeDocument/2006/relationships/hyperlink" Target="https://thebanks.eu/banks/18192" TargetMode="External"/><Relationship Id="rId10" Type="http://schemas.openxmlformats.org/officeDocument/2006/relationships/hyperlink" Target="https://thebanks.eu/banks/18291" TargetMode="External"/><Relationship Id="rId31" Type="http://schemas.openxmlformats.org/officeDocument/2006/relationships/hyperlink" Target="https://thebanks.eu/banks/18270" TargetMode="External"/><Relationship Id="rId52" Type="http://schemas.openxmlformats.org/officeDocument/2006/relationships/hyperlink" Target="https://thebanks.eu/banks/18252" TargetMode="External"/><Relationship Id="rId73" Type="http://schemas.openxmlformats.org/officeDocument/2006/relationships/hyperlink" Target="https://thebanks.eu/banks/18232" TargetMode="External"/><Relationship Id="rId78" Type="http://schemas.openxmlformats.org/officeDocument/2006/relationships/hyperlink" Target="https://thebanks.eu/banks/18228" TargetMode="External"/><Relationship Id="rId94" Type="http://schemas.openxmlformats.org/officeDocument/2006/relationships/hyperlink" Target="https://thebanks.eu/banks/18214" TargetMode="External"/><Relationship Id="rId99" Type="http://schemas.openxmlformats.org/officeDocument/2006/relationships/hyperlink" Target="https://thebanks.eu/banks/18208" TargetMode="External"/><Relationship Id="rId101" Type="http://schemas.openxmlformats.org/officeDocument/2006/relationships/hyperlink" Target="https://thebanks.eu/banks/18215" TargetMode="External"/><Relationship Id="rId122" Type="http://schemas.openxmlformats.org/officeDocument/2006/relationships/hyperlink" Target="https://thebanks.eu/banks/18194" TargetMode="External"/><Relationship Id="rId143" Type="http://schemas.openxmlformats.org/officeDocument/2006/relationships/hyperlink" Target="https://thebanks.eu/banks/18175" TargetMode="External"/><Relationship Id="rId148" Type="http://schemas.openxmlformats.org/officeDocument/2006/relationships/hyperlink" Target="https://thebanks.eu/banks/18171" TargetMode="External"/><Relationship Id="rId164" Type="http://schemas.openxmlformats.org/officeDocument/2006/relationships/hyperlink" Target="https://thebanks.eu/banks/18154" TargetMode="External"/><Relationship Id="rId169" Type="http://schemas.openxmlformats.org/officeDocument/2006/relationships/hyperlink" Target="https://thebanks.eu/banks/18149" TargetMode="External"/><Relationship Id="rId185" Type="http://schemas.openxmlformats.org/officeDocument/2006/relationships/hyperlink" Target="https://thebanks.eu/banks/18139" TargetMode="External"/><Relationship Id="rId4" Type="http://schemas.openxmlformats.org/officeDocument/2006/relationships/hyperlink" Target="https://thebanks.eu/banks/18297" TargetMode="External"/><Relationship Id="rId9" Type="http://schemas.openxmlformats.org/officeDocument/2006/relationships/hyperlink" Target="https://thebanks.eu/banks/18292" TargetMode="External"/><Relationship Id="rId180" Type="http://schemas.openxmlformats.org/officeDocument/2006/relationships/hyperlink" Target="https://thebanks.eu/banks/18121" TargetMode="External"/><Relationship Id="rId210" Type="http://schemas.openxmlformats.org/officeDocument/2006/relationships/hyperlink" Target="https://thebanks.eu/banks/18164" TargetMode="External"/><Relationship Id="rId215" Type="http://schemas.openxmlformats.org/officeDocument/2006/relationships/hyperlink" Target="https://thebanks.eu/banks/18112" TargetMode="External"/><Relationship Id="rId26" Type="http://schemas.openxmlformats.org/officeDocument/2006/relationships/hyperlink" Target="https://thebanks.eu/banks/18274" TargetMode="External"/><Relationship Id="rId47" Type="http://schemas.openxmlformats.org/officeDocument/2006/relationships/hyperlink" Target="https://thebanks.eu/banks/18256" TargetMode="External"/><Relationship Id="rId68" Type="http://schemas.openxmlformats.org/officeDocument/2006/relationships/hyperlink" Target="https://thebanks.eu/banks/18235" TargetMode="External"/><Relationship Id="rId89" Type="http://schemas.openxmlformats.org/officeDocument/2006/relationships/hyperlink" Target="https://thebanks.eu/banks/18220" TargetMode="External"/><Relationship Id="rId112" Type="http://schemas.openxmlformats.org/officeDocument/2006/relationships/hyperlink" Target="https://thebanks.eu/banks/18593" TargetMode="External"/><Relationship Id="rId133" Type="http://schemas.openxmlformats.org/officeDocument/2006/relationships/hyperlink" Target="https://thebanks.eu/banks/18184" TargetMode="External"/><Relationship Id="rId154" Type="http://schemas.openxmlformats.org/officeDocument/2006/relationships/hyperlink" Target="https://thebanks.eu/banks/18303" TargetMode="External"/><Relationship Id="rId175" Type="http://schemas.openxmlformats.org/officeDocument/2006/relationships/hyperlink" Target="https://thebanks.eu/banks/18145" TargetMode="External"/><Relationship Id="rId196" Type="http://schemas.openxmlformats.org/officeDocument/2006/relationships/hyperlink" Target="https://thebanks.eu/banks/18128" TargetMode="External"/><Relationship Id="rId200" Type="http://schemas.openxmlformats.org/officeDocument/2006/relationships/hyperlink" Target="https://thebanks.eu/banks/18119" TargetMode="External"/><Relationship Id="rId16" Type="http://schemas.openxmlformats.org/officeDocument/2006/relationships/hyperlink" Target="https://thebanks.eu/banks/18284" TargetMode="External"/><Relationship Id="rId221" Type="http://schemas.openxmlformats.org/officeDocument/2006/relationships/hyperlink" Target="https://thebanks.eu/banks/18106" TargetMode="External"/><Relationship Id="rId37" Type="http://schemas.openxmlformats.org/officeDocument/2006/relationships/hyperlink" Target="https://thebanks.eu/banks/18264" TargetMode="External"/><Relationship Id="rId58" Type="http://schemas.openxmlformats.org/officeDocument/2006/relationships/hyperlink" Target="https://thebanks.eu/banks/18244" TargetMode="External"/><Relationship Id="rId79" Type="http://schemas.openxmlformats.org/officeDocument/2006/relationships/hyperlink" Target="https://thebanks.eu/banks/18227" TargetMode="External"/><Relationship Id="rId102" Type="http://schemas.openxmlformats.org/officeDocument/2006/relationships/hyperlink" Target="https://thebanks.eu/banks/18211" TargetMode="External"/><Relationship Id="rId123" Type="http://schemas.openxmlformats.org/officeDocument/2006/relationships/hyperlink" Target="https://thebanks.eu/banks/18190" TargetMode="External"/><Relationship Id="rId144" Type="http://schemas.openxmlformats.org/officeDocument/2006/relationships/hyperlink" Target="https://thebanks.eu/banks/18174" TargetMode="External"/><Relationship Id="rId90" Type="http://schemas.openxmlformats.org/officeDocument/2006/relationships/hyperlink" Target="https://thebanks.eu/banks/18219" TargetMode="External"/><Relationship Id="rId165" Type="http://schemas.openxmlformats.org/officeDocument/2006/relationships/hyperlink" Target="https://thebanks.eu/banks/18153" TargetMode="External"/><Relationship Id="rId186" Type="http://schemas.openxmlformats.org/officeDocument/2006/relationships/hyperlink" Target="https://thebanks.eu/banks/18138" TargetMode="External"/><Relationship Id="rId211" Type="http://schemas.openxmlformats.org/officeDocument/2006/relationships/hyperlink" Target="https://thebanks.eu/banks/18163" TargetMode="External"/><Relationship Id="rId27" Type="http://schemas.openxmlformats.org/officeDocument/2006/relationships/hyperlink" Target="https://thebanks.eu/banks/18273" TargetMode="External"/><Relationship Id="rId48" Type="http://schemas.openxmlformats.org/officeDocument/2006/relationships/hyperlink" Target="https://thebanks.eu/banks/18255" TargetMode="External"/><Relationship Id="rId69" Type="http://schemas.openxmlformats.org/officeDocument/2006/relationships/hyperlink" Target="https://thebanks.eu/banks/18234" TargetMode="External"/><Relationship Id="rId113" Type="http://schemas.openxmlformats.org/officeDocument/2006/relationships/hyperlink" Target="https://thebanks.eu/banks/18199" TargetMode="External"/><Relationship Id="rId134" Type="http://schemas.openxmlformats.org/officeDocument/2006/relationships/hyperlink" Target="https://thebanks.eu/banks/18182" TargetMode="External"/><Relationship Id="rId80" Type="http://schemas.openxmlformats.org/officeDocument/2006/relationships/hyperlink" Target="https://thebanks.eu/banks/18226" TargetMode="External"/><Relationship Id="rId155" Type="http://schemas.openxmlformats.org/officeDocument/2006/relationships/hyperlink" Target="https://thebanks.eu/banks/18300" TargetMode="External"/><Relationship Id="rId176" Type="http://schemas.openxmlformats.org/officeDocument/2006/relationships/hyperlink" Target="https://thebanks.eu/banks/18144" TargetMode="External"/><Relationship Id="rId197" Type="http://schemas.openxmlformats.org/officeDocument/2006/relationships/hyperlink" Target="https://thebanks.eu/banks/18127" TargetMode="External"/><Relationship Id="rId201" Type="http://schemas.openxmlformats.org/officeDocument/2006/relationships/hyperlink" Target="https://thebanks.eu/banks/18117" TargetMode="External"/><Relationship Id="rId222" Type="http://schemas.openxmlformats.org/officeDocument/2006/relationships/hyperlink" Target="https://thebanks.eu/banks/18105" TargetMode="External"/><Relationship Id="rId17" Type="http://schemas.openxmlformats.org/officeDocument/2006/relationships/hyperlink" Target="https://thebanks.eu/banks/18283" TargetMode="External"/><Relationship Id="rId38" Type="http://schemas.openxmlformats.org/officeDocument/2006/relationships/hyperlink" Target="https://thebanks.eu/banks/18263" TargetMode="External"/><Relationship Id="rId59" Type="http://schemas.openxmlformats.org/officeDocument/2006/relationships/hyperlink" Target="https://thebanks.eu/banks/18243" TargetMode="External"/><Relationship Id="rId103" Type="http://schemas.openxmlformats.org/officeDocument/2006/relationships/hyperlink" Target="https://thebanks.eu/banks/18206" TargetMode="External"/><Relationship Id="rId124" Type="http://schemas.openxmlformats.org/officeDocument/2006/relationships/hyperlink" Target="https://thebanks.eu/banks/18304" TargetMode="External"/><Relationship Id="rId70" Type="http://schemas.openxmlformats.org/officeDocument/2006/relationships/hyperlink" Target="https://thebanks.eu/banks/18233" TargetMode="External"/><Relationship Id="rId91" Type="http://schemas.openxmlformats.org/officeDocument/2006/relationships/hyperlink" Target="https://thebanks.eu/banks/18217" TargetMode="External"/><Relationship Id="rId145" Type="http://schemas.openxmlformats.org/officeDocument/2006/relationships/hyperlink" Target="https://thebanks.eu/banks/18301" TargetMode="External"/><Relationship Id="rId166" Type="http://schemas.openxmlformats.org/officeDocument/2006/relationships/hyperlink" Target="https://thebanks.eu/banks/18152" TargetMode="External"/><Relationship Id="rId187" Type="http://schemas.openxmlformats.org/officeDocument/2006/relationships/hyperlink" Target="https://thebanks.eu/banks/18137" TargetMode="External"/><Relationship Id="rId1" Type="http://schemas.openxmlformats.org/officeDocument/2006/relationships/hyperlink" Target="https://thebanks.eu/banks/18103" TargetMode="External"/><Relationship Id="rId212" Type="http://schemas.openxmlformats.org/officeDocument/2006/relationships/hyperlink" Target="https://thebanks.eu/banks/18162" TargetMode="External"/><Relationship Id="rId28" Type="http://schemas.openxmlformats.org/officeDocument/2006/relationships/hyperlink" Target="https://thebanks.eu/banks/18272" TargetMode="External"/><Relationship Id="rId49" Type="http://schemas.openxmlformats.org/officeDocument/2006/relationships/hyperlink" Target="https://thebanks.eu/banks/18254" TargetMode="External"/><Relationship Id="rId114" Type="http://schemas.openxmlformats.org/officeDocument/2006/relationships/hyperlink" Target="https://thebanks.eu/banks/18199" TargetMode="External"/><Relationship Id="rId60" Type="http://schemas.openxmlformats.org/officeDocument/2006/relationships/hyperlink" Target="https://thebanks.eu/banks/18247" TargetMode="External"/><Relationship Id="rId81" Type="http://schemas.openxmlformats.org/officeDocument/2006/relationships/hyperlink" Target="https://thebanks.eu/banks/18309" TargetMode="External"/><Relationship Id="rId135" Type="http://schemas.openxmlformats.org/officeDocument/2006/relationships/hyperlink" Target="https://thebanks.eu/banks/18250" TargetMode="External"/><Relationship Id="rId156" Type="http://schemas.openxmlformats.org/officeDocument/2006/relationships/hyperlink" Target="https://thebanks.eu/banks/18170" TargetMode="External"/><Relationship Id="rId177" Type="http://schemas.openxmlformats.org/officeDocument/2006/relationships/hyperlink" Target="https://thebanks.eu/banks/18124" TargetMode="External"/><Relationship Id="rId198" Type="http://schemas.openxmlformats.org/officeDocument/2006/relationships/hyperlink" Target="https://thebanks.eu/banks/18126" TargetMode="External"/><Relationship Id="rId202" Type="http://schemas.openxmlformats.org/officeDocument/2006/relationships/hyperlink" Target="https://thebanks.eu/banks/18114" TargetMode="External"/><Relationship Id="rId223" Type="http://schemas.openxmlformats.org/officeDocument/2006/relationships/hyperlink" Target="https://thebanks.eu/banks/18589" TargetMode="External"/><Relationship Id="rId18" Type="http://schemas.openxmlformats.org/officeDocument/2006/relationships/hyperlink" Target="https://thebanks.eu/banks/18282" TargetMode="External"/><Relationship Id="rId39" Type="http://schemas.openxmlformats.org/officeDocument/2006/relationships/hyperlink" Target="https://thebanks.eu/banks/18262" TargetMode="External"/><Relationship Id="rId50" Type="http://schemas.openxmlformats.org/officeDocument/2006/relationships/hyperlink" Target="https://thebanks.eu/banks/18312" TargetMode="External"/><Relationship Id="rId104" Type="http://schemas.openxmlformats.org/officeDocument/2006/relationships/hyperlink" Target="https://thebanks.eu/banks/18203" TargetMode="External"/><Relationship Id="rId125" Type="http://schemas.openxmlformats.org/officeDocument/2006/relationships/hyperlink" Target="https://thebanks.eu/banks/18189" TargetMode="External"/><Relationship Id="rId146" Type="http://schemas.openxmlformats.org/officeDocument/2006/relationships/hyperlink" Target="https://thebanks.eu/banks/18173" TargetMode="External"/><Relationship Id="rId167" Type="http://schemas.openxmlformats.org/officeDocument/2006/relationships/hyperlink" Target="https://thebanks.eu/banks/18151" TargetMode="External"/><Relationship Id="rId188" Type="http://schemas.openxmlformats.org/officeDocument/2006/relationships/hyperlink" Target="https://thebanks.eu/banks/18674" TargetMode="External"/><Relationship Id="rId71" Type="http://schemas.openxmlformats.org/officeDocument/2006/relationships/hyperlink" Target="https://thebanks.eu/banks/18238" TargetMode="External"/><Relationship Id="rId92" Type="http://schemas.openxmlformats.org/officeDocument/2006/relationships/hyperlink" Target="https://thebanks.eu/banks/18218" TargetMode="External"/><Relationship Id="rId213" Type="http://schemas.openxmlformats.org/officeDocument/2006/relationships/hyperlink" Target="https://thebanks.eu/banks/18159" TargetMode="External"/><Relationship Id="rId2" Type="http://schemas.openxmlformats.org/officeDocument/2006/relationships/hyperlink" Target="https://thebanks.eu/banks/18103" TargetMode="External"/><Relationship Id="rId29" Type="http://schemas.openxmlformats.org/officeDocument/2006/relationships/hyperlink" Target="https://thebanks.eu/banks/18281" TargetMode="External"/><Relationship Id="rId40" Type="http://schemas.openxmlformats.org/officeDocument/2006/relationships/hyperlink" Target="https://thebanks.eu/banks/18261" TargetMode="External"/><Relationship Id="rId115" Type="http://schemas.openxmlformats.org/officeDocument/2006/relationships/hyperlink" Target="https://thebanks.eu/banks/18200" TargetMode="External"/><Relationship Id="rId136" Type="http://schemas.openxmlformats.org/officeDocument/2006/relationships/hyperlink" Target="https://thebanks.eu/banks/18181" TargetMode="External"/><Relationship Id="rId157" Type="http://schemas.openxmlformats.org/officeDocument/2006/relationships/hyperlink" Target="https://thebanks.eu/banks/18169" TargetMode="External"/><Relationship Id="rId178" Type="http://schemas.openxmlformats.org/officeDocument/2006/relationships/hyperlink" Target="https://thebanks.eu/banks/18123" TargetMode="External"/><Relationship Id="rId61" Type="http://schemas.openxmlformats.org/officeDocument/2006/relationships/hyperlink" Target="https://thebanks.eu/banks/18246" TargetMode="External"/><Relationship Id="rId82" Type="http://schemas.openxmlformats.org/officeDocument/2006/relationships/hyperlink" Target="https://thebanks.eu/banks/18225" TargetMode="External"/><Relationship Id="rId199" Type="http://schemas.openxmlformats.org/officeDocument/2006/relationships/hyperlink" Target="https://thebanks.eu/banks/18125" TargetMode="External"/><Relationship Id="rId203" Type="http://schemas.openxmlformats.org/officeDocument/2006/relationships/hyperlink" Target="https://thebanks.eu/banks/18118" TargetMode="External"/><Relationship Id="rId19" Type="http://schemas.openxmlformats.org/officeDocument/2006/relationships/hyperlink" Target="https://thebanks.eu/banks/18280" TargetMode="External"/><Relationship Id="rId224" Type="http://schemas.openxmlformats.org/officeDocument/2006/relationships/hyperlink" Target="https://thebanks.eu/banks/18104" TargetMode="External"/><Relationship Id="rId30" Type="http://schemas.openxmlformats.org/officeDocument/2006/relationships/hyperlink" Target="https://thebanks.eu/banks/18271" TargetMode="External"/><Relationship Id="rId105" Type="http://schemas.openxmlformats.org/officeDocument/2006/relationships/hyperlink" Target="https://thebanks.eu/banks/18678" TargetMode="External"/><Relationship Id="rId126" Type="http://schemas.openxmlformats.org/officeDocument/2006/relationships/hyperlink" Target="https://thebanks.eu/banks/18193" TargetMode="External"/><Relationship Id="rId147" Type="http://schemas.openxmlformats.org/officeDocument/2006/relationships/hyperlink" Target="https://thebanks.eu/banks/18172" TargetMode="External"/><Relationship Id="rId168" Type="http://schemas.openxmlformats.org/officeDocument/2006/relationships/hyperlink" Target="https://thebanks.eu/banks/18150" TargetMode="External"/><Relationship Id="rId51" Type="http://schemas.openxmlformats.org/officeDocument/2006/relationships/hyperlink" Target="https://thebanks.eu/banks/18253" TargetMode="External"/><Relationship Id="rId72" Type="http://schemas.openxmlformats.org/officeDocument/2006/relationships/hyperlink" Target="https://thebanks.eu/banks/18237" TargetMode="External"/><Relationship Id="rId93" Type="http://schemas.openxmlformats.org/officeDocument/2006/relationships/hyperlink" Target="https://thebanks.eu/banks/18216" TargetMode="External"/><Relationship Id="rId189" Type="http://schemas.openxmlformats.org/officeDocument/2006/relationships/hyperlink" Target="https://thebanks.eu/banks/18136"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3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B31"/>
  <sheetViews>
    <sheetView zoomScale="90" zoomScaleNormal="90" workbookViewId="0">
      <pane ySplit="525" activePane="bottomLeft"/>
      <selection pane="bottomLeft" activeCell="A17" sqref="A17"/>
    </sheetView>
  </sheetViews>
  <sheetFormatPr baseColWidth="10" defaultColWidth="9.140625" defaultRowHeight="15"/>
  <cols>
    <col min="1" max="1" width="57.7109375" bestFit="1" customWidth="1"/>
    <col min="2" max="2" width="105" bestFit="1" customWidth="1"/>
    <col min="3" max="3" width="96" bestFit="1" customWidth="1"/>
    <col min="4" max="4" width="109.5703125" bestFit="1" customWidth="1"/>
    <col min="5" max="5" width="52.42578125" bestFit="1" customWidth="1"/>
    <col min="6" max="6" width="53.42578125" bestFit="1" customWidth="1"/>
    <col min="7" max="7" width="50.7109375" bestFit="1" customWidth="1"/>
    <col min="8" max="8" width="51" bestFit="1" customWidth="1"/>
    <col min="9" max="9" width="62.42578125" bestFit="1" customWidth="1"/>
    <col min="10" max="10" width="131.7109375" bestFit="1" customWidth="1"/>
    <col min="11" max="11" width="79.5703125" bestFit="1" customWidth="1"/>
    <col min="12" max="12" width="94.42578125" bestFit="1" customWidth="1"/>
    <col min="13" max="13" width="63.85546875" bestFit="1" customWidth="1"/>
    <col min="14" max="14" width="130.42578125" bestFit="1" customWidth="1"/>
    <col min="15" max="15" width="91.42578125" bestFit="1" customWidth="1"/>
    <col min="16" max="16" width="107.7109375" bestFit="1" customWidth="1"/>
    <col min="17" max="17" width="78.7109375" bestFit="1" customWidth="1"/>
    <col min="18" max="18" width="161.140625" bestFit="1" customWidth="1"/>
    <col min="19" max="19" width="61.5703125" bestFit="1" customWidth="1"/>
    <col min="20" max="20" width="116.7109375" bestFit="1" customWidth="1"/>
    <col min="21" max="21" width="104.140625" bestFit="1" customWidth="1"/>
    <col min="22" max="22" width="89.42578125" bestFit="1" customWidth="1"/>
    <col min="23" max="23" width="255.7109375" bestFit="1" customWidth="1"/>
    <col min="24" max="24" width="197.85546875" bestFit="1" customWidth="1"/>
    <col min="25" max="25" width="103" bestFit="1" customWidth="1"/>
    <col min="26" max="26" width="67.140625" bestFit="1" customWidth="1"/>
    <col min="27" max="27" width="47.42578125" bestFit="1" customWidth="1"/>
    <col min="28" max="28" width="137.28515625" bestFit="1" customWidth="1"/>
  </cols>
  <sheetData>
    <row r="1" spans="1:28">
      <c r="A1" s="4" t="s">
        <v>74</v>
      </c>
      <c r="B1" s="4" t="s">
        <v>1</v>
      </c>
      <c r="C1" s="4" t="s">
        <v>2</v>
      </c>
      <c r="D1" s="4" t="s">
        <v>3</v>
      </c>
      <c r="E1" s="5" t="s">
        <v>78</v>
      </c>
      <c r="F1" s="5" t="s">
        <v>79</v>
      </c>
      <c r="G1" s="5" t="s">
        <v>80</v>
      </c>
      <c r="H1" s="5" t="s">
        <v>105</v>
      </c>
      <c r="I1" s="5" t="s">
        <v>106</v>
      </c>
      <c r="J1" s="5" t="s">
        <v>107</v>
      </c>
      <c r="K1" s="6" t="s">
        <v>142</v>
      </c>
      <c r="L1" s="6" t="s">
        <v>143</v>
      </c>
      <c r="M1" s="6" t="s">
        <v>144</v>
      </c>
      <c r="N1" s="6" t="s">
        <v>171</v>
      </c>
      <c r="O1" s="6" t="s">
        <v>172</v>
      </c>
      <c r="P1" s="6" t="s">
        <v>173</v>
      </c>
      <c r="Q1" s="6" t="s">
        <v>197</v>
      </c>
      <c r="R1" s="6" t="s">
        <v>198</v>
      </c>
      <c r="S1" s="6" t="s">
        <v>199</v>
      </c>
      <c r="T1" s="6" t="s">
        <v>229</v>
      </c>
      <c r="U1" s="6" t="s">
        <v>230</v>
      </c>
      <c r="V1" s="6" t="s">
        <v>231</v>
      </c>
      <c r="W1" s="5" t="s">
        <v>264</v>
      </c>
      <c r="X1" s="5" t="s">
        <v>265</v>
      </c>
      <c r="Y1" s="5" t="s">
        <v>266</v>
      </c>
      <c r="Z1" s="4" t="s">
        <v>300</v>
      </c>
      <c r="AA1" s="4" t="s">
        <v>301</v>
      </c>
      <c r="AB1" s="4" t="s">
        <v>302</v>
      </c>
    </row>
    <row r="2" spans="1:28">
      <c r="A2" s="152" t="s">
        <v>4</v>
      </c>
      <c r="B2" s="7" t="s">
        <v>5</v>
      </c>
      <c r="C2" s="7" t="s">
        <v>5</v>
      </c>
      <c r="D2" s="7" t="s">
        <v>5</v>
      </c>
      <c r="E2" s="22" t="s">
        <v>5</v>
      </c>
      <c r="F2" s="22" t="s">
        <v>5</v>
      </c>
      <c r="G2" s="22" t="s">
        <v>5</v>
      </c>
      <c r="H2" s="22" t="s">
        <v>5</v>
      </c>
      <c r="I2" s="17" t="s">
        <v>41</v>
      </c>
      <c r="J2" s="22" t="s">
        <v>5</v>
      </c>
      <c r="K2" s="18" t="s">
        <v>145</v>
      </c>
      <c r="L2" s="13" t="s">
        <v>5</v>
      </c>
      <c r="M2" s="13" t="s">
        <v>5</v>
      </c>
      <c r="N2" s="18" t="s">
        <v>41</v>
      </c>
      <c r="O2" s="13" t="s">
        <v>5</v>
      </c>
      <c r="P2" s="13" t="s">
        <v>5</v>
      </c>
      <c r="Q2" s="13" t="s">
        <v>5</v>
      </c>
      <c r="R2" s="18" t="s">
        <v>41</v>
      </c>
      <c r="S2" s="18" t="s">
        <v>41</v>
      </c>
      <c r="T2" s="18" t="s">
        <v>41</v>
      </c>
      <c r="U2" s="13" t="s">
        <v>5</v>
      </c>
      <c r="V2" s="18" t="s">
        <v>41</v>
      </c>
      <c r="W2" s="22" t="s">
        <v>5</v>
      </c>
      <c r="X2" s="22" t="s">
        <v>5</v>
      </c>
      <c r="Y2" s="22" t="s">
        <v>5</v>
      </c>
      <c r="Z2" s="7" t="s">
        <v>5</v>
      </c>
      <c r="AA2" s="7" t="s">
        <v>5</v>
      </c>
      <c r="AB2" s="7" t="s">
        <v>5</v>
      </c>
    </row>
    <row r="3" spans="1:28">
      <c r="A3" s="152" t="s">
        <v>6</v>
      </c>
      <c r="B3" s="7" t="s">
        <v>7</v>
      </c>
      <c r="C3" s="7" t="s">
        <v>8</v>
      </c>
      <c r="D3" s="7" t="s">
        <v>9</v>
      </c>
      <c r="E3" s="22" t="s">
        <v>81</v>
      </c>
      <c r="F3" s="22" t="s">
        <v>82</v>
      </c>
      <c r="G3" s="22" t="s">
        <v>83</v>
      </c>
      <c r="H3" s="22" t="s">
        <v>108</v>
      </c>
      <c r="I3" s="22" t="s">
        <v>9</v>
      </c>
      <c r="J3" s="22" t="s">
        <v>109</v>
      </c>
      <c r="K3" s="13" t="s">
        <v>146</v>
      </c>
      <c r="L3" s="13" t="s">
        <v>146</v>
      </c>
      <c r="M3" s="13" t="s">
        <v>147</v>
      </c>
      <c r="N3" s="13" t="s">
        <v>9</v>
      </c>
      <c r="O3" s="13" t="s">
        <v>146</v>
      </c>
      <c r="P3" s="13" t="s">
        <v>146</v>
      </c>
      <c r="Q3" s="13" t="s">
        <v>200</v>
      </c>
      <c r="R3" s="13" t="s">
        <v>9</v>
      </c>
      <c r="S3" s="13" t="s">
        <v>9</v>
      </c>
      <c r="T3" s="13" t="s">
        <v>9</v>
      </c>
      <c r="U3" s="13" t="s">
        <v>232</v>
      </c>
      <c r="V3" s="13" t="s">
        <v>9</v>
      </c>
      <c r="W3" s="22" t="s">
        <v>267</v>
      </c>
      <c r="X3" s="22" t="s">
        <v>268</v>
      </c>
      <c r="Y3" s="22" t="s">
        <v>269</v>
      </c>
      <c r="Z3" s="7" t="s">
        <v>303</v>
      </c>
      <c r="AA3" s="7" t="s">
        <v>303</v>
      </c>
      <c r="AB3" s="7" t="s">
        <v>200</v>
      </c>
    </row>
    <row r="4" spans="1:28">
      <c r="A4" s="152" t="s">
        <v>10</v>
      </c>
      <c r="B4" s="10">
        <v>0</v>
      </c>
      <c r="C4" s="23" t="s">
        <v>75</v>
      </c>
      <c r="D4" s="24">
        <v>0.1</v>
      </c>
      <c r="E4" s="22" t="s">
        <v>84</v>
      </c>
      <c r="F4" s="26">
        <v>0</v>
      </c>
      <c r="G4" s="26">
        <v>0</v>
      </c>
      <c r="H4" s="26">
        <v>0</v>
      </c>
      <c r="I4" s="17" t="s">
        <v>90</v>
      </c>
      <c r="J4" s="17" t="s">
        <v>137</v>
      </c>
      <c r="K4" s="29">
        <v>0.1</v>
      </c>
      <c r="L4" s="13" t="s">
        <v>148</v>
      </c>
      <c r="M4" s="18" t="s">
        <v>149</v>
      </c>
      <c r="N4" s="18" t="s">
        <v>174</v>
      </c>
      <c r="O4" s="13" t="s">
        <v>175</v>
      </c>
      <c r="P4" s="13" t="s">
        <v>176</v>
      </c>
      <c r="Q4" s="18" t="s">
        <v>90</v>
      </c>
      <c r="R4" s="18" t="s">
        <v>201</v>
      </c>
      <c r="S4" s="18" t="s">
        <v>2055</v>
      </c>
      <c r="T4" s="18" t="s">
        <v>233</v>
      </c>
      <c r="U4" s="18" t="s">
        <v>257</v>
      </c>
      <c r="V4" s="18" t="s">
        <v>258</v>
      </c>
      <c r="W4" s="17" t="s">
        <v>270</v>
      </c>
      <c r="X4" s="17" t="s">
        <v>296</v>
      </c>
      <c r="Y4" s="17" t="s">
        <v>271</v>
      </c>
      <c r="Z4" s="10">
        <v>0</v>
      </c>
      <c r="AA4" s="10">
        <v>0</v>
      </c>
      <c r="AB4" s="23" t="s">
        <v>322</v>
      </c>
    </row>
    <row r="5" spans="1:28">
      <c r="A5" s="9" t="s">
        <v>11</v>
      </c>
      <c r="B5" s="7" t="s">
        <v>12</v>
      </c>
      <c r="C5" s="7" t="s">
        <v>13</v>
      </c>
      <c r="D5" s="7" t="s">
        <v>14</v>
      </c>
      <c r="E5" s="22" t="s">
        <v>85</v>
      </c>
      <c r="F5" s="22" t="s">
        <v>86</v>
      </c>
      <c r="G5" s="22" t="s">
        <v>87</v>
      </c>
      <c r="H5" s="22" t="s">
        <v>110</v>
      </c>
      <c r="I5" s="22" t="s">
        <v>111</v>
      </c>
      <c r="J5" s="22" t="s">
        <v>112</v>
      </c>
      <c r="K5" s="13" t="s">
        <v>150</v>
      </c>
      <c r="L5" s="13" t="s">
        <v>150</v>
      </c>
      <c r="M5" s="13" t="s">
        <v>150</v>
      </c>
      <c r="N5" s="13" t="s">
        <v>150</v>
      </c>
      <c r="O5" s="13" t="s">
        <v>150</v>
      </c>
      <c r="P5" s="13" t="s">
        <v>150</v>
      </c>
      <c r="Q5" s="13" t="s">
        <v>202</v>
      </c>
      <c r="R5" s="13" t="s">
        <v>150</v>
      </c>
      <c r="S5" s="13" t="s">
        <v>150</v>
      </c>
      <c r="T5" s="13" t="s">
        <v>150</v>
      </c>
      <c r="U5" s="13" t="s">
        <v>112</v>
      </c>
      <c r="V5" s="13" t="s">
        <v>13</v>
      </c>
      <c r="W5" s="22" t="s">
        <v>272</v>
      </c>
      <c r="X5" s="22" t="s">
        <v>112</v>
      </c>
      <c r="Y5" s="22" t="s">
        <v>150</v>
      </c>
      <c r="Z5" s="7" t="s">
        <v>304</v>
      </c>
      <c r="AA5" s="7" t="s">
        <v>305</v>
      </c>
      <c r="AB5" s="7" t="s">
        <v>306</v>
      </c>
    </row>
    <row r="6" spans="1:28">
      <c r="A6" s="9" t="s">
        <v>15</v>
      </c>
      <c r="B6" s="7" t="s">
        <v>12</v>
      </c>
      <c r="C6" s="7" t="s">
        <v>5</v>
      </c>
      <c r="D6" s="7" t="s">
        <v>5</v>
      </c>
      <c r="E6" s="22" t="s">
        <v>85</v>
      </c>
      <c r="F6" s="22" t="s">
        <v>86</v>
      </c>
      <c r="G6" s="22" t="s">
        <v>87</v>
      </c>
      <c r="H6" s="22" t="s">
        <v>110</v>
      </c>
      <c r="I6" s="22" t="s">
        <v>5</v>
      </c>
      <c r="J6" s="22" t="s">
        <v>113</v>
      </c>
      <c r="K6" s="18" t="s">
        <v>5</v>
      </c>
      <c r="L6" s="13" t="s">
        <v>5</v>
      </c>
      <c r="M6" s="13" t="s">
        <v>5</v>
      </c>
      <c r="N6" s="13" t="s">
        <v>177</v>
      </c>
      <c r="O6" s="13" t="s">
        <v>177</v>
      </c>
      <c r="P6" s="13" t="s">
        <v>5</v>
      </c>
      <c r="Q6" s="13" t="s">
        <v>5</v>
      </c>
      <c r="R6" s="13" t="s">
        <v>5</v>
      </c>
      <c r="S6" s="13" t="s">
        <v>5</v>
      </c>
      <c r="T6" s="13" t="s">
        <v>5</v>
      </c>
      <c r="U6" s="13" t="s">
        <v>5</v>
      </c>
      <c r="V6" s="13" t="s">
        <v>177</v>
      </c>
      <c r="W6" s="22" t="s">
        <v>5</v>
      </c>
      <c r="X6" s="22" t="s">
        <v>5</v>
      </c>
      <c r="Y6" s="22" t="s">
        <v>273</v>
      </c>
      <c r="Z6" s="7" t="s">
        <v>304</v>
      </c>
      <c r="AA6" s="7" t="s">
        <v>305</v>
      </c>
      <c r="AB6" s="7" t="s">
        <v>5</v>
      </c>
    </row>
    <row r="7" spans="1:28">
      <c r="A7" s="152" t="s">
        <v>16</v>
      </c>
      <c r="B7" s="10">
        <v>0</v>
      </c>
      <c r="C7" s="10">
        <v>0</v>
      </c>
      <c r="D7" s="24">
        <v>0.1</v>
      </c>
      <c r="E7" s="22" t="s">
        <v>88</v>
      </c>
      <c r="F7" s="26">
        <v>0</v>
      </c>
      <c r="G7" s="26">
        <v>0</v>
      </c>
      <c r="H7" s="26">
        <v>0</v>
      </c>
      <c r="I7" s="17" t="s">
        <v>114</v>
      </c>
      <c r="J7" s="17" t="s">
        <v>138</v>
      </c>
      <c r="K7" s="30">
        <v>0</v>
      </c>
      <c r="L7" s="30">
        <v>0</v>
      </c>
      <c r="M7" s="30">
        <v>0</v>
      </c>
      <c r="N7" s="18" t="s">
        <v>178</v>
      </c>
      <c r="O7" s="30">
        <v>0</v>
      </c>
      <c r="P7" s="30">
        <v>0</v>
      </c>
      <c r="Q7" s="18" t="s">
        <v>203</v>
      </c>
      <c r="R7" s="18" t="s">
        <v>204</v>
      </c>
      <c r="S7" s="29">
        <v>0.15</v>
      </c>
      <c r="T7" s="13" t="s">
        <v>234</v>
      </c>
      <c r="U7" s="30">
        <v>0</v>
      </c>
      <c r="V7" s="18" t="s">
        <v>259</v>
      </c>
      <c r="W7" s="17" t="s">
        <v>274</v>
      </c>
      <c r="X7" s="26">
        <v>0</v>
      </c>
      <c r="Y7" s="26">
        <v>0</v>
      </c>
      <c r="Z7" s="10">
        <v>0</v>
      </c>
      <c r="AA7" s="7" t="s">
        <v>307</v>
      </c>
      <c r="AB7" s="7" t="s">
        <v>308</v>
      </c>
    </row>
    <row r="8" spans="1:28">
      <c r="A8" s="9" t="s">
        <v>17</v>
      </c>
      <c r="B8" s="7" t="s">
        <v>18</v>
      </c>
      <c r="C8" s="7" t="s">
        <v>19</v>
      </c>
      <c r="D8" s="7" t="s">
        <v>5</v>
      </c>
      <c r="E8" s="22" t="s">
        <v>88</v>
      </c>
      <c r="F8" s="22" t="s">
        <v>89</v>
      </c>
      <c r="G8" s="22" t="s">
        <v>19</v>
      </c>
      <c r="H8" s="22" t="s">
        <v>19</v>
      </c>
      <c r="I8" s="22" t="s">
        <v>115</v>
      </c>
      <c r="J8" s="22" t="s">
        <v>139</v>
      </c>
      <c r="K8" s="13" t="s">
        <v>19</v>
      </c>
      <c r="L8" s="13" t="s">
        <v>151</v>
      </c>
      <c r="M8" s="13" t="s">
        <v>19</v>
      </c>
      <c r="N8" s="18" t="s">
        <v>179</v>
      </c>
      <c r="O8" s="13" t="s">
        <v>19</v>
      </c>
      <c r="P8" s="13" t="s">
        <v>19</v>
      </c>
      <c r="Q8" s="13" t="s">
        <v>205</v>
      </c>
      <c r="R8" s="13" t="s">
        <v>206</v>
      </c>
      <c r="S8" s="13" t="s">
        <v>41</v>
      </c>
      <c r="T8" s="13" t="s">
        <v>115</v>
      </c>
      <c r="U8" s="13" t="s">
        <v>19</v>
      </c>
      <c r="V8" s="18" t="s">
        <v>235</v>
      </c>
      <c r="W8" s="22" t="s">
        <v>275</v>
      </c>
      <c r="X8" s="22" t="s">
        <v>19</v>
      </c>
      <c r="Y8" s="22" t="s">
        <v>19</v>
      </c>
      <c r="Z8" s="7" t="s">
        <v>19</v>
      </c>
      <c r="AA8" s="7" t="s">
        <v>307</v>
      </c>
      <c r="AB8" s="7" t="s">
        <v>309</v>
      </c>
    </row>
    <row r="9" spans="1:28">
      <c r="A9" s="152" t="s">
        <v>20</v>
      </c>
      <c r="B9" s="7" t="s">
        <v>21</v>
      </c>
      <c r="C9" s="23" t="s">
        <v>22</v>
      </c>
      <c r="D9" s="23" t="s">
        <v>23</v>
      </c>
      <c r="E9" s="17" t="s">
        <v>90</v>
      </c>
      <c r="F9" s="22" t="s">
        <v>91</v>
      </c>
      <c r="G9" s="22" t="s">
        <v>92</v>
      </c>
      <c r="H9" s="22" t="s">
        <v>116</v>
      </c>
      <c r="I9" s="27">
        <v>0.19</v>
      </c>
      <c r="J9" s="17" t="s">
        <v>117</v>
      </c>
      <c r="K9" s="13" t="s">
        <v>152</v>
      </c>
      <c r="L9" s="13" t="s">
        <v>153</v>
      </c>
      <c r="M9" s="13" t="s">
        <v>154</v>
      </c>
      <c r="N9" s="29">
        <v>0.23</v>
      </c>
      <c r="O9" s="29">
        <v>0.2</v>
      </c>
      <c r="P9" s="29">
        <v>0.05</v>
      </c>
      <c r="Q9" s="29">
        <v>0.08</v>
      </c>
      <c r="R9" s="29">
        <v>0.15</v>
      </c>
      <c r="S9" s="29">
        <v>0.21</v>
      </c>
      <c r="T9" s="29">
        <v>0.18</v>
      </c>
      <c r="U9" s="29">
        <v>0.15</v>
      </c>
      <c r="V9" s="29">
        <v>0.21</v>
      </c>
      <c r="W9" s="27">
        <v>7.0000000000000007E-2</v>
      </c>
      <c r="X9" s="27">
        <v>0.15</v>
      </c>
      <c r="Y9" s="27">
        <v>7.0000000000000007E-2</v>
      </c>
      <c r="Z9" s="7" t="s">
        <v>310</v>
      </c>
      <c r="AA9" s="7" t="s">
        <v>311</v>
      </c>
      <c r="AB9" s="24">
        <v>0.08</v>
      </c>
    </row>
    <row r="10" spans="1:28">
      <c r="A10" s="9" t="s">
        <v>24</v>
      </c>
      <c r="B10" s="7" t="s">
        <v>25</v>
      </c>
      <c r="C10" s="23" t="s">
        <v>26</v>
      </c>
      <c r="D10" s="23" t="s">
        <v>27</v>
      </c>
      <c r="E10" s="26">
        <v>0</v>
      </c>
      <c r="F10" s="22" t="s">
        <v>91</v>
      </c>
      <c r="G10" s="22" t="s">
        <v>92</v>
      </c>
      <c r="H10" s="22" t="s">
        <v>116</v>
      </c>
      <c r="I10" s="17" t="s">
        <v>118</v>
      </c>
      <c r="J10" s="17" t="s">
        <v>119</v>
      </c>
      <c r="K10" s="13" t="s">
        <v>152</v>
      </c>
      <c r="L10" s="13" t="s">
        <v>153</v>
      </c>
      <c r="M10" s="13" t="s">
        <v>154</v>
      </c>
      <c r="N10" s="18" t="s">
        <v>180</v>
      </c>
      <c r="O10" s="18" t="s">
        <v>181</v>
      </c>
      <c r="P10" s="30">
        <v>0</v>
      </c>
      <c r="Q10" s="18" t="s">
        <v>207</v>
      </c>
      <c r="R10" s="18" t="s">
        <v>208</v>
      </c>
      <c r="S10" s="18" t="s">
        <v>209</v>
      </c>
      <c r="T10" s="18" t="s">
        <v>236</v>
      </c>
      <c r="U10" s="18" t="s">
        <v>36</v>
      </c>
      <c r="V10" s="18" t="s">
        <v>237</v>
      </c>
      <c r="W10" s="22" t="s">
        <v>36</v>
      </c>
      <c r="X10" s="26">
        <v>0</v>
      </c>
      <c r="Y10" s="26">
        <v>0</v>
      </c>
      <c r="Z10" s="7" t="s">
        <v>310</v>
      </c>
      <c r="AA10" s="7" t="s">
        <v>311</v>
      </c>
      <c r="AB10" s="23" t="s">
        <v>312</v>
      </c>
    </row>
    <row r="11" spans="1:28">
      <c r="A11" s="9" t="s">
        <v>28</v>
      </c>
      <c r="B11" s="7" t="s">
        <v>29</v>
      </c>
      <c r="C11" s="23" t="s">
        <v>30</v>
      </c>
      <c r="D11" s="25">
        <v>40</v>
      </c>
      <c r="E11" s="17" t="s">
        <v>93</v>
      </c>
      <c r="F11" s="22" t="s">
        <v>91</v>
      </c>
      <c r="G11" s="22" t="s">
        <v>92</v>
      </c>
      <c r="H11" s="22" t="s">
        <v>116</v>
      </c>
      <c r="I11" s="28">
        <v>15.6</v>
      </c>
      <c r="J11" s="17" t="s">
        <v>140</v>
      </c>
      <c r="K11" s="13" t="s">
        <v>152</v>
      </c>
      <c r="L11" s="13" t="s">
        <v>153</v>
      </c>
      <c r="M11" s="13" t="s">
        <v>154</v>
      </c>
      <c r="N11" s="18" t="s">
        <v>182</v>
      </c>
      <c r="O11" s="18" t="s">
        <v>183</v>
      </c>
      <c r="P11" s="18" t="s">
        <v>184</v>
      </c>
      <c r="Q11" s="18" t="s">
        <v>210</v>
      </c>
      <c r="R11" s="18" t="s">
        <v>211</v>
      </c>
      <c r="S11" s="31">
        <v>45</v>
      </c>
      <c r="T11" s="31">
        <v>7</v>
      </c>
      <c r="U11" s="18" t="s">
        <v>238</v>
      </c>
      <c r="V11" s="13" t="s">
        <v>239</v>
      </c>
      <c r="W11" s="17" t="s">
        <v>276</v>
      </c>
      <c r="X11" s="17" t="s">
        <v>277</v>
      </c>
      <c r="Y11" s="17" t="s">
        <v>278</v>
      </c>
      <c r="Z11" s="7" t="s">
        <v>310</v>
      </c>
      <c r="AA11" s="7" t="s">
        <v>311</v>
      </c>
      <c r="AB11" s="23" t="s">
        <v>210</v>
      </c>
    </row>
    <row r="12" spans="1:28">
      <c r="A12" s="9" t="s">
        <v>31</v>
      </c>
      <c r="B12" s="7" t="s">
        <v>32</v>
      </c>
      <c r="C12" s="7" t="s">
        <v>33</v>
      </c>
      <c r="D12" s="23" t="s">
        <v>76</v>
      </c>
      <c r="E12" s="17" t="s">
        <v>94</v>
      </c>
      <c r="F12" s="22" t="s">
        <v>91</v>
      </c>
      <c r="G12" s="22" t="s">
        <v>92</v>
      </c>
      <c r="H12" s="22" t="s">
        <v>116</v>
      </c>
      <c r="I12" s="17" t="s">
        <v>120</v>
      </c>
      <c r="J12" s="17" t="s">
        <v>94</v>
      </c>
      <c r="K12" s="13" t="s">
        <v>152</v>
      </c>
      <c r="L12" s="13" t="s">
        <v>153</v>
      </c>
      <c r="M12" s="13" t="s">
        <v>154</v>
      </c>
      <c r="N12" s="18" t="s">
        <v>33</v>
      </c>
      <c r="O12" s="18" t="s">
        <v>120</v>
      </c>
      <c r="P12" s="18" t="s">
        <v>120</v>
      </c>
      <c r="Q12" s="18" t="s">
        <v>120</v>
      </c>
      <c r="R12" s="18" t="s">
        <v>212</v>
      </c>
      <c r="S12" s="18" t="s">
        <v>94</v>
      </c>
      <c r="T12" s="18" t="s">
        <v>120</v>
      </c>
      <c r="U12" s="18" t="s">
        <v>240</v>
      </c>
      <c r="V12" s="18" t="s">
        <v>241</v>
      </c>
      <c r="W12" s="17" t="s">
        <v>94</v>
      </c>
      <c r="X12" s="17" t="s">
        <v>94</v>
      </c>
      <c r="Y12" s="17" t="s">
        <v>120</v>
      </c>
      <c r="Z12" s="7" t="s">
        <v>310</v>
      </c>
      <c r="AA12" s="7" t="s">
        <v>311</v>
      </c>
      <c r="AB12" s="23" t="s">
        <v>120</v>
      </c>
    </row>
    <row r="13" spans="1:28">
      <c r="A13" s="9" t="s">
        <v>34</v>
      </c>
      <c r="B13" s="7" t="s">
        <v>35</v>
      </c>
      <c r="C13" s="7" t="s">
        <v>36</v>
      </c>
      <c r="D13" s="7" t="s">
        <v>36</v>
      </c>
      <c r="E13" s="22" t="s">
        <v>36</v>
      </c>
      <c r="F13" s="22" t="s">
        <v>36</v>
      </c>
      <c r="G13" s="22" t="s">
        <v>36</v>
      </c>
      <c r="H13" s="22" t="s">
        <v>36</v>
      </c>
      <c r="I13" s="22" t="s">
        <v>36</v>
      </c>
      <c r="J13" s="17" t="s">
        <v>121</v>
      </c>
      <c r="K13" s="13" t="s">
        <v>36</v>
      </c>
      <c r="L13" s="13" t="s">
        <v>36</v>
      </c>
      <c r="M13" s="13" t="s">
        <v>36</v>
      </c>
      <c r="N13" s="13" t="s">
        <v>36</v>
      </c>
      <c r="O13" s="13" t="s">
        <v>36</v>
      </c>
      <c r="P13" s="13" t="s">
        <v>36</v>
      </c>
      <c r="Q13" s="13" t="s">
        <v>36</v>
      </c>
      <c r="R13" s="18" t="s">
        <v>227</v>
      </c>
      <c r="S13" s="18" t="s">
        <v>228</v>
      </c>
      <c r="T13" s="13" t="s">
        <v>36</v>
      </c>
      <c r="U13" s="13" t="s">
        <v>36</v>
      </c>
      <c r="V13" s="13" t="s">
        <v>36</v>
      </c>
      <c r="W13" s="17" t="s">
        <v>297</v>
      </c>
      <c r="X13" s="22" t="s">
        <v>36</v>
      </c>
      <c r="Y13" s="22" t="s">
        <v>36</v>
      </c>
      <c r="Z13" s="7" t="s">
        <v>36</v>
      </c>
      <c r="AA13" s="7" t="s">
        <v>36</v>
      </c>
      <c r="AB13" s="23" t="s">
        <v>313</v>
      </c>
    </row>
    <row r="14" spans="1:28">
      <c r="A14" s="9" t="s">
        <v>37</v>
      </c>
      <c r="B14" s="7" t="s">
        <v>12</v>
      </c>
      <c r="C14" s="7" t="s">
        <v>38</v>
      </c>
      <c r="D14" s="7" t="s">
        <v>39</v>
      </c>
      <c r="E14" s="22" t="s">
        <v>95</v>
      </c>
      <c r="F14" s="22" t="s">
        <v>86</v>
      </c>
      <c r="G14" s="22" t="s">
        <v>87</v>
      </c>
      <c r="H14" s="22" t="s">
        <v>110</v>
      </c>
      <c r="I14" s="22" t="s">
        <v>122</v>
      </c>
      <c r="J14" s="22" t="s">
        <v>123</v>
      </c>
      <c r="K14" s="13" t="s">
        <v>38</v>
      </c>
      <c r="L14" s="13" t="s">
        <v>155</v>
      </c>
      <c r="M14" s="13" t="s">
        <v>156</v>
      </c>
      <c r="N14" s="13" t="s">
        <v>38</v>
      </c>
      <c r="O14" s="13" t="s">
        <v>38</v>
      </c>
      <c r="P14" s="13" t="s">
        <v>122</v>
      </c>
      <c r="Q14" s="13" t="s">
        <v>122</v>
      </c>
      <c r="R14" s="13" t="s">
        <v>213</v>
      </c>
      <c r="S14" s="18" t="s">
        <v>214</v>
      </c>
      <c r="T14" s="13" t="s">
        <v>122</v>
      </c>
      <c r="U14" s="13" t="s">
        <v>213</v>
      </c>
      <c r="V14" s="18" t="s">
        <v>155</v>
      </c>
      <c r="W14" s="17" t="s">
        <v>213</v>
      </c>
      <c r="X14" s="17" t="s">
        <v>122</v>
      </c>
      <c r="Y14" s="17" t="s">
        <v>213</v>
      </c>
      <c r="Z14" s="7" t="s">
        <v>314</v>
      </c>
      <c r="AA14" s="7" t="s">
        <v>305</v>
      </c>
      <c r="AB14" s="7" t="s">
        <v>38</v>
      </c>
    </row>
    <row r="15" spans="1:28">
      <c r="A15" s="9" t="s">
        <v>40</v>
      </c>
      <c r="B15" s="7" t="s">
        <v>5</v>
      </c>
      <c r="C15" s="23" t="s">
        <v>41</v>
      </c>
      <c r="D15" s="23" t="s">
        <v>41</v>
      </c>
      <c r="E15" s="22" t="s">
        <v>5</v>
      </c>
      <c r="F15" s="22" t="s">
        <v>5</v>
      </c>
      <c r="G15" s="22" t="s">
        <v>96</v>
      </c>
      <c r="H15" s="22" t="s">
        <v>5</v>
      </c>
      <c r="I15" s="17" t="s">
        <v>41</v>
      </c>
      <c r="J15" s="17" t="s">
        <v>41</v>
      </c>
      <c r="K15" s="18" t="s">
        <v>41</v>
      </c>
      <c r="L15" s="13" t="s">
        <v>41</v>
      </c>
      <c r="M15" s="13" t="s">
        <v>41</v>
      </c>
      <c r="N15" s="13" t="s">
        <v>41</v>
      </c>
      <c r="O15" s="18" t="s">
        <v>41</v>
      </c>
      <c r="P15" s="18" t="s">
        <v>41</v>
      </c>
      <c r="Q15" s="13" t="s">
        <v>41</v>
      </c>
      <c r="R15" s="18" t="s">
        <v>41</v>
      </c>
      <c r="S15" s="18" t="s">
        <v>41</v>
      </c>
      <c r="T15" s="18" t="s">
        <v>41</v>
      </c>
      <c r="U15" s="18" t="s">
        <v>41</v>
      </c>
      <c r="V15" s="18" t="s">
        <v>41</v>
      </c>
      <c r="W15" s="17" t="s">
        <v>41</v>
      </c>
      <c r="X15" s="17" t="s">
        <v>41</v>
      </c>
      <c r="Y15" s="17" t="s">
        <v>41</v>
      </c>
      <c r="Z15" s="7" t="s">
        <v>5</v>
      </c>
      <c r="AA15" s="7" t="s">
        <v>5</v>
      </c>
      <c r="AB15" s="23" t="s">
        <v>41</v>
      </c>
    </row>
    <row r="16" spans="1:28">
      <c r="A16" s="9" t="s">
        <v>42</v>
      </c>
      <c r="B16" s="7" t="s">
        <v>43</v>
      </c>
      <c r="C16" s="7" t="s">
        <v>44</v>
      </c>
      <c r="D16" s="7" t="s">
        <v>45</v>
      </c>
      <c r="E16" s="22" t="s">
        <v>97</v>
      </c>
      <c r="F16" s="22" t="s">
        <v>98</v>
      </c>
      <c r="G16" s="22" t="s">
        <v>87</v>
      </c>
      <c r="H16" s="22" t="s">
        <v>98</v>
      </c>
      <c r="I16" s="17" t="s">
        <v>124</v>
      </c>
      <c r="J16" s="22" t="s">
        <v>125</v>
      </c>
      <c r="K16" s="13" t="s">
        <v>157</v>
      </c>
      <c r="L16" s="13" t="s">
        <v>158</v>
      </c>
      <c r="M16" s="13" t="s">
        <v>159</v>
      </c>
      <c r="N16" s="13" t="s">
        <v>185</v>
      </c>
      <c r="O16" s="13" t="s">
        <v>186</v>
      </c>
      <c r="P16" s="13" t="s">
        <v>187</v>
      </c>
      <c r="Q16" s="13" t="s">
        <v>215</v>
      </c>
      <c r="R16" s="18" t="s">
        <v>216</v>
      </c>
      <c r="S16" s="18" t="s">
        <v>217</v>
      </c>
      <c r="T16" s="18" t="s">
        <v>242</v>
      </c>
      <c r="U16" s="13" t="s">
        <v>243</v>
      </c>
      <c r="V16" s="13" t="s">
        <v>244</v>
      </c>
      <c r="W16" s="22" t="s">
        <v>279</v>
      </c>
      <c r="X16" s="17" t="s">
        <v>280</v>
      </c>
      <c r="Y16" s="17" t="s">
        <v>158</v>
      </c>
      <c r="Z16" s="7" t="s">
        <v>98</v>
      </c>
      <c r="AA16" s="7" t="s">
        <v>305</v>
      </c>
      <c r="AB16" s="7" t="s">
        <v>315</v>
      </c>
    </row>
    <row r="17" spans="1:28">
      <c r="A17" s="9" t="s">
        <v>46</v>
      </c>
      <c r="B17" s="7" t="s">
        <v>12</v>
      </c>
      <c r="C17" s="23" t="s">
        <v>47</v>
      </c>
      <c r="D17" s="23" t="s">
        <v>48</v>
      </c>
      <c r="E17" s="22" t="s">
        <v>95</v>
      </c>
      <c r="F17" s="22" t="s">
        <v>99</v>
      </c>
      <c r="G17" s="22" t="s">
        <v>100</v>
      </c>
      <c r="H17" s="22" t="s">
        <v>110</v>
      </c>
      <c r="I17" s="17" t="s">
        <v>126</v>
      </c>
      <c r="J17" s="17" t="s">
        <v>127</v>
      </c>
      <c r="K17" s="18" t="s">
        <v>160</v>
      </c>
      <c r="L17" s="18" t="s">
        <v>161</v>
      </c>
      <c r="M17" s="18" t="s">
        <v>162</v>
      </c>
      <c r="N17" s="18" t="s">
        <v>188</v>
      </c>
      <c r="O17" s="18" t="s">
        <v>189</v>
      </c>
      <c r="P17" s="18" t="s">
        <v>190</v>
      </c>
      <c r="Q17" s="13" t="s">
        <v>218</v>
      </c>
      <c r="R17" s="13" t="s">
        <v>219</v>
      </c>
      <c r="S17" s="13" t="s">
        <v>220</v>
      </c>
      <c r="T17" s="13" t="s">
        <v>245</v>
      </c>
      <c r="U17" s="13" t="s">
        <v>246</v>
      </c>
      <c r="V17" s="13" t="s">
        <v>247</v>
      </c>
      <c r="W17" s="22" t="s">
        <v>281</v>
      </c>
      <c r="X17" s="17" t="s">
        <v>282</v>
      </c>
      <c r="Y17" s="17" t="s">
        <v>283</v>
      </c>
      <c r="Z17" s="7" t="s">
        <v>316</v>
      </c>
      <c r="AA17" s="7" t="s">
        <v>305</v>
      </c>
      <c r="AB17" s="7" t="s">
        <v>317</v>
      </c>
    </row>
    <row r="18" spans="1:28">
      <c r="A18" s="9" t="s">
        <v>49</v>
      </c>
      <c r="B18" s="10">
        <v>0</v>
      </c>
      <c r="C18" s="10">
        <v>0</v>
      </c>
      <c r="D18" s="7" t="s">
        <v>50</v>
      </c>
      <c r="E18" s="26">
        <v>0</v>
      </c>
      <c r="F18" s="26">
        <v>0</v>
      </c>
      <c r="G18" s="26">
        <v>0</v>
      </c>
      <c r="H18" s="26">
        <v>0</v>
      </c>
      <c r="I18" s="26">
        <v>0</v>
      </c>
      <c r="J18" s="17" t="s">
        <v>128</v>
      </c>
      <c r="K18" s="30">
        <v>0</v>
      </c>
      <c r="L18" s="30">
        <v>0</v>
      </c>
      <c r="M18" s="30">
        <v>0</v>
      </c>
      <c r="N18" s="13" t="s">
        <v>191</v>
      </c>
      <c r="O18" s="30">
        <v>0</v>
      </c>
      <c r="P18" s="30">
        <v>0</v>
      </c>
      <c r="Q18" s="30">
        <v>0</v>
      </c>
      <c r="R18" s="18" t="s">
        <v>221</v>
      </c>
      <c r="S18" s="18" t="s">
        <v>222</v>
      </c>
      <c r="T18" s="13" t="s">
        <v>248</v>
      </c>
      <c r="U18" s="30">
        <v>0</v>
      </c>
      <c r="V18" s="13" t="s">
        <v>249</v>
      </c>
      <c r="W18" s="22" t="s">
        <v>298</v>
      </c>
      <c r="X18" s="17" t="s">
        <v>284</v>
      </c>
      <c r="Y18" s="26">
        <v>0</v>
      </c>
      <c r="Z18" s="10">
        <v>0</v>
      </c>
      <c r="AA18" s="10">
        <v>0</v>
      </c>
      <c r="AB18" s="7" t="s">
        <v>318</v>
      </c>
    </row>
    <row r="19" spans="1:28">
      <c r="A19" s="9" t="s">
        <v>51</v>
      </c>
      <c r="B19" s="10">
        <v>0</v>
      </c>
      <c r="C19" s="23" t="s">
        <v>52</v>
      </c>
      <c r="D19" s="7" t="s">
        <v>50</v>
      </c>
      <c r="E19" s="26">
        <v>0</v>
      </c>
      <c r="F19" s="26">
        <v>0</v>
      </c>
      <c r="G19" s="26">
        <v>0</v>
      </c>
      <c r="H19" s="26">
        <v>0</v>
      </c>
      <c r="I19" s="22" t="s">
        <v>129</v>
      </c>
      <c r="J19" s="17" t="s">
        <v>128</v>
      </c>
      <c r="K19" s="30">
        <v>0</v>
      </c>
      <c r="L19" s="30">
        <v>0</v>
      </c>
      <c r="M19" s="30">
        <v>0</v>
      </c>
      <c r="N19" s="18" t="s">
        <v>192</v>
      </c>
      <c r="O19" s="30">
        <v>0</v>
      </c>
      <c r="P19" s="30">
        <v>0</v>
      </c>
      <c r="Q19" s="30">
        <v>0</v>
      </c>
      <c r="R19" s="18" t="s">
        <v>221</v>
      </c>
      <c r="S19" s="18" t="s">
        <v>222</v>
      </c>
      <c r="T19" s="13" t="s">
        <v>250</v>
      </c>
      <c r="U19" s="18" t="s">
        <v>260</v>
      </c>
      <c r="V19" s="13" t="s">
        <v>249</v>
      </c>
      <c r="W19" s="26">
        <v>0</v>
      </c>
      <c r="X19" s="17" t="s">
        <v>296</v>
      </c>
      <c r="Y19" s="22" t="s">
        <v>285</v>
      </c>
      <c r="Z19" s="10">
        <v>0</v>
      </c>
      <c r="AA19" s="10">
        <v>0</v>
      </c>
      <c r="AB19" s="7" t="s">
        <v>318</v>
      </c>
    </row>
    <row r="20" spans="1:28">
      <c r="A20" s="9" t="s">
        <v>53</v>
      </c>
      <c r="B20" s="10">
        <v>0</v>
      </c>
      <c r="C20" s="23" t="s">
        <v>592</v>
      </c>
      <c r="D20" s="7" t="s">
        <v>54</v>
      </c>
      <c r="E20" s="26">
        <v>0</v>
      </c>
      <c r="F20" s="26">
        <v>0</v>
      </c>
      <c r="G20" s="26">
        <v>0</v>
      </c>
      <c r="H20" s="26">
        <v>0</v>
      </c>
      <c r="I20" s="26">
        <v>0</v>
      </c>
      <c r="J20" s="17" t="s">
        <v>128</v>
      </c>
      <c r="K20" s="30">
        <v>0</v>
      </c>
      <c r="L20" s="30">
        <v>0</v>
      </c>
      <c r="M20" s="30">
        <v>0</v>
      </c>
      <c r="N20" s="29">
        <v>0.2</v>
      </c>
      <c r="O20" s="30">
        <v>0</v>
      </c>
      <c r="P20" s="30">
        <v>0</v>
      </c>
      <c r="Q20" s="30">
        <v>0</v>
      </c>
      <c r="R20" s="18" t="s">
        <v>223</v>
      </c>
      <c r="S20" s="18" t="s">
        <v>222</v>
      </c>
      <c r="T20" s="30">
        <v>0</v>
      </c>
      <c r="U20" s="30">
        <v>0</v>
      </c>
      <c r="V20" s="29">
        <v>0.15</v>
      </c>
      <c r="W20" s="17" t="s">
        <v>299</v>
      </c>
      <c r="X20" s="17" t="s">
        <v>286</v>
      </c>
      <c r="Y20" s="26">
        <v>0</v>
      </c>
      <c r="Z20" s="10">
        <v>0</v>
      </c>
      <c r="AA20" s="10">
        <v>0</v>
      </c>
      <c r="AB20" s="24">
        <v>0.35</v>
      </c>
    </row>
    <row r="21" spans="1:28">
      <c r="A21" s="9" t="s">
        <v>55</v>
      </c>
      <c r="B21" s="10">
        <v>0</v>
      </c>
      <c r="C21" s="7" t="s">
        <v>56</v>
      </c>
      <c r="D21" s="24">
        <v>0.1</v>
      </c>
      <c r="E21" s="26">
        <v>0</v>
      </c>
      <c r="F21" s="26">
        <v>0</v>
      </c>
      <c r="G21" s="26">
        <v>0</v>
      </c>
      <c r="H21" s="26">
        <v>0</v>
      </c>
      <c r="I21" s="17" t="s">
        <v>130</v>
      </c>
      <c r="J21" s="17" t="s">
        <v>131</v>
      </c>
      <c r="K21" s="13" t="s">
        <v>163</v>
      </c>
      <c r="L21" s="30">
        <v>0</v>
      </c>
      <c r="M21" s="18" t="s">
        <v>164</v>
      </c>
      <c r="N21" s="29">
        <v>0.25</v>
      </c>
      <c r="O21" s="13" t="s">
        <v>193</v>
      </c>
      <c r="P21" s="30">
        <v>0</v>
      </c>
      <c r="Q21" s="18" t="s">
        <v>90</v>
      </c>
      <c r="R21" s="18" t="s">
        <v>224</v>
      </c>
      <c r="S21" s="29">
        <v>0.15</v>
      </c>
      <c r="T21" s="13" t="s">
        <v>251</v>
      </c>
      <c r="U21" s="18" t="s">
        <v>261</v>
      </c>
      <c r="V21" s="18" t="s">
        <v>252</v>
      </c>
      <c r="W21" s="17" t="s">
        <v>287</v>
      </c>
      <c r="X21" s="17" t="s">
        <v>288</v>
      </c>
      <c r="Y21" s="27">
        <v>0.17</v>
      </c>
      <c r="Z21" s="10">
        <v>0</v>
      </c>
      <c r="AA21" s="10">
        <v>0</v>
      </c>
      <c r="AB21" s="7" t="s">
        <v>319</v>
      </c>
    </row>
    <row r="22" spans="1:28">
      <c r="A22" s="9" t="s">
        <v>57</v>
      </c>
      <c r="B22" s="10">
        <v>0</v>
      </c>
      <c r="C22" s="23" t="s">
        <v>77</v>
      </c>
      <c r="D22" s="7" t="s">
        <v>54</v>
      </c>
      <c r="E22" s="26">
        <v>0</v>
      </c>
      <c r="F22" s="26">
        <v>0</v>
      </c>
      <c r="G22" s="26">
        <v>0</v>
      </c>
      <c r="H22" s="26">
        <v>0</v>
      </c>
      <c r="I22" s="26">
        <v>0</v>
      </c>
      <c r="J22" s="27">
        <v>0.2</v>
      </c>
      <c r="K22" s="30">
        <v>0</v>
      </c>
      <c r="L22" s="30">
        <v>0</v>
      </c>
      <c r="M22" s="30">
        <v>0</v>
      </c>
      <c r="N22" s="29">
        <v>0.2</v>
      </c>
      <c r="O22" s="30">
        <v>0</v>
      </c>
      <c r="P22" s="30">
        <v>0</v>
      </c>
      <c r="Q22" s="30">
        <v>0</v>
      </c>
      <c r="R22" s="30">
        <v>0</v>
      </c>
      <c r="S22" s="18" t="s">
        <v>225</v>
      </c>
      <c r="T22" s="30">
        <v>0</v>
      </c>
      <c r="U22" s="18" t="s">
        <v>262</v>
      </c>
      <c r="V22" s="30">
        <v>0</v>
      </c>
      <c r="W22" s="17" t="s">
        <v>90</v>
      </c>
      <c r="X22" s="17" t="s">
        <v>289</v>
      </c>
      <c r="Y22" s="27">
        <v>0.15</v>
      </c>
      <c r="Z22" s="10">
        <v>0</v>
      </c>
      <c r="AA22" s="10">
        <v>0</v>
      </c>
      <c r="AB22" s="23" t="s">
        <v>320</v>
      </c>
    </row>
    <row r="23" spans="1:28" ht="15" customHeight="1">
      <c r="A23" s="9" t="s">
        <v>58</v>
      </c>
      <c r="B23" s="7" t="s">
        <v>12</v>
      </c>
      <c r="C23" s="7" t="s">
        <v>41</v>
      </c>
      <c r="D23" s="7" t="s">
        <v>41</v>
      </c>
      <c r="E23" s="22" t="s">
        <v>85</v>
      </c>
      <c r="F23" s="22" t="s">
        <v>86</v>
      </c>
      <c r="G23" s="22" t="s">
        <v>87</v>
      </c>
      <c r="H23" s="22" t="s">
        <v>110</v>
      </c>
      <c r="I23" s="17" t="s">
        <v>41</v>
      </c>
      <c r="J23" s="17" t="s">
        <v>132</v>
      </c>
      <c r="K23" s="13" t="s">
        <v>41</v>
      </c>
      <c r="L23" s="13" t="s">
        <v>41</v>
      </c>
      <c r="M23" s="13" t="s">
        <v>41</v>
      </c>
      <c r="N23" s="13" t="s">
        <v>41</v>
      </c>
      <c r="O23" s="13" t="s">
        <v>194</v>
      </c>
      <c r="P23" s="13" t="s">
        <v>194</v>
      </c>
      <c r="Q23" s="13" t="s">
        <v>41</v>
      </c>
      <c r="R23" s="13" t="s">
        <v>226</v>
      </c>
      <c r="S23" s="13" t="s">
        <v>41</v>
      </c>
      <c r="T23" s="13" t="s">
        <v>226</v>
      </c>
      <c r="U23" s="13" t="s">
        <v>41</v>
      </c>
      <c r="V23" s="13" t="s">
        <v>41</v>
      </c>
      <c r="W23" s="22" t="s">
        <v>290</v>
      </c>
      <c r="X23" s="22" t="s">
        <v>41</v>
      </c>
      <c r="Y23" s="22" t="s">
        <v>41</v>
      </c>
      <c r="Z23" s="7" t="s">
        <v>304</v>
      </c>
      <c r="AA23" s="7" t="s">
        <v>305</v>
      </c>
      <c r="AB23" s="7" t="s">
        <v>41</v>
      </c>
    </row>
    <row r="24" spans="1:28">
      <c r="A24" s="9" t="s">
        <v>59</v>
      </c>
      <c r="B24" s="10">
        <v>0</v>
      </c>
      <c r="C24" s="7" t="s">
        <v>56</v>
      </c>
      <c r="D24" s="24">
        <v>0.1</v>
      </c>
      <c r="E24" s="26">
        <v>0</v>
      </c>
      <c r="F24" s="26">
        <v>0</v>
      </c>
      <c r="G24" s="26">
        <v>0</v>
      </c>
      <c r="H24" s="26">
        <v>0</v>
      </c>
      <c r="I24" s="17" t="s">
        <v>133</v>
      </c>
      <c r="J24" s="17" t="s">
        <v>131</v>
      </c>
      <c r="K24" s="29">
        <v>0.1</v>
      </c>
      <c r="L24" s="30">
        <v>0</v>
      </c>
      <c r="M24" s="18" t="s">
        <v>165</v>
      </c>
      <c r="N24" s="29">
        <v>0.25</v>
      </c>
      <c r="O24" s="30">
        <v>0</v>
      </c>
      <c r="P24" s="30">
        <v>0</v>
      </c>
      <c r="Q24" s="18" t="s">
        <v>133</v>
      </c>
      <c r="R24" s="18" t="s">
        <v>224</v>
      </c>
      <c r="S24" s="29">
        <v>0.15</v>
      </c>
      <c r="T24" s="13" t="s">
        <v>253</v>
      </c>
      <c r="U24" s="18" t="s">
        <v>263</v>
      </c>
      <c r="V24" s="18" t="s">
        <v>252</v>
      </c>
      <c r="W24" s="17" t="s">
        <v>291</v>
      </c>
      <c r="X24" s="22" t="s">
        <v>292</v>
      </c>
      <c r="Y24" s="27">
        <v>0.17</v>
      </c>
      <c r="Z24" s="10">
        <v>0</v>
      </c>
      <c r="AA24" s="10">
        <v>0</v>
      </c>
      <c r="AB24" s="7" t="s">
        <v>319</v>
      </c>
    </row>
    <row r="25" spans="1:28">
      <c r="A25" s="9" t="s">
        <v>60</v>
      </c>
      <c r="B25" s="10">
        <v>0</v>
      </c>
      <c r="C25" s="23" t="s">
        <v>77</v>
      </c>
      <c r="D25" s="23" t="s">
        <v>61</v>
      </c>
      <c r="E25" s="26">
        <v>0</v>
      </c>
      <c r="F25" s="26">
        <v>0</v>
      </c>
      <c r="G25" s="26">
        <v>0</v>
      </c>
      <c r="H25" s="26">
        <v>0</v>
      </c>
      <c r="I25" s="17" t="s">
        <v>141</v>
      </c>
      <c r="J25" s="17" t="s">
        <v>134</v>
      </c>
      <c r="K25" s="30">
        <v>0</v>
      </c>
      <c r="L25" s="30">
        <v>0</v>
      </c>
      <c r="M25" s="18" t="s">
        <v>170</v>
      </c>
      <c r="N25" s="13" t="s">
        <v>196</v>
      </c>
      <c r="O25" s="13" t="s">
        <v>54</v>
      </c>
      <c r="P25" s="30">
        <v>0</v>
      </c>
      <c r="Q25" s="30">
        <v>0</v>
      </c>
      <c r="R25" s="30">
        <v>0</v>
      </c>
      <c r="S25" s="18" t="s">
        <v>225</v>
      </c>
      <c r="T25" s="30">
        <v>0</v>
      </c>
      <c r="U25" s="18" t="s">
        <v>262</v>
      </c>
      <c r="V25" s="30">
        <v>0</v>
      </c>
      <c r="W25" s="17" t="s">
        <v>293</v>
      </c>
      <c r="X25" s="17" t="s">
        <v>286</v>
      </c>
      <c r="Y25" s="27">
        <v>0.1</v>
      </c>
      <c r="Z25" s="10">
        <v>0</v>
      </c>
      <c r="AA25" s="10">
        <v>0</v>
      </c>
      <c r="AB25" s="10">
        <v>0</v>
      </c>
    </row>
    <row r="26" spans="1:28">
      <c r="A26" s="9" t="s">
        <v>62</v>
      </c>
      <c r="B26" s="7" t="s">
        <v>12</v>
      </c>
      <c r="C26" s="7" t="s">
        <v>41</v>
      </c>
      <c r="D26" s="7" t="s">
        <v>41</v>
      </c>
      <c r="E26" s="22" t="s">
        <v>85</v>
      </c>
      <c r="F26" s="22" t="s">
        <v>86</v>
      </c>
      <c r="G26" s="22" t="s">
        <v>87</v>
      </c>
      <c r="H26" s="22" t="s">
        <v>110</v>
      </c>
      <c r="I26" s="17" t="s">
        <v>41</v>
      </c>
      <c r="J26" s="17" t="s">
        <v>41</v>
      </c>
      <c r="K26" s="13" t="s">
        <v>41</v>
      </c>
      <c r="L26" s="13" t="s">
        <v>41</v>
      </c>
      <c r="M26" s="13" t="s">
        <v>41</v>
      </c>
      <c r="N26" s="13" t="s">
        <v>41</v>
      </c>
      <c r="O26" s="13" t="s">
        <v>194</v>
      </c>
      <c r="P26" s="13" t="s">
        <v>194</v>
      </c>
      <c r="Q26" s="13" t="s">
        <v>41</v>
      </c>
      <c r="R26" s="13" t="s">
        <v>226</v>
      </c>
      <c r="S26" s="13" t="s">
        <v>41</v>
      </c>
      <c r="T26" s="13" t="s">
        <v>226</v>
      </c>
      <c r="U26" s="13" t="s">
        <v>41</v>
      </c>
      <c r="V26" s="13" t="s">
        <v>41</v>
      </c>
      <c r="W26" s="22" t="s">
        <v>290</v>
      </c>
      <c r="X26" s="22" t="s">
        <v>41</v>
      </c>
      <c r="Y26" s="22" t="s">
        <v>41</v>
      </c>
      <c r="Z26" s="7" t="s">
        <v>304</v>
      </c>
      <c r="AA26" s="7" t="s">
        <v>305</v>
      </c>
      <c r="AB26" s="7" t="s">
        <v>41</v>
      </c>
    </row>
    <row r="27" spans="1:28">
      <c r="A27" s="9" t="s">
        <v>63</v>
      </c>
      <c r="B27" s="7" t="s">
        <v>5</v>
      </c>
      <c r="C27" s="7" t="s">
        <v>64</v>
      </c>
      <c r="D27" s="7" t="s">
        <v>65</v>
      </c>
      <c r="E27" s="22" t="s">
        <v>5</v>
      </c>
      <c r="F27" s="22" t="s">
        <v>101</v>
      </c>
      <c r="G27" s="22" t="s">
        <v>5</v>
      </c>
      <c r="H27" s="22" t="s">
        <v>5</v>
      </c>
      <c r="I27" s="22" t="s">
        <v>135</v>
      </c>
      <c r="J27" s="22" t="s">
        <v>5</v>
      </c>
      <c r="K27" s="13" t="s">
        <v>166</v>
      </c>
      <c r="L27" s="13" t="s">
        <v>5</v>
      </c>
      <c r="M27" s="13" t="s">
        <v>167</v>
      </c>
      <c r="N27" s="13" t="s">
        <v>195</v>
      </c>
      <c r="O27" s="13" t="s">
        <v>5</v>
      </c>
      <c r="P27" s="13" t="s">
        <v>5</v>
      </c>
      <c r="Q27" s="13" t="s">
        <v>5</v>
      </c>
      <c r="R27" s="13" t="s">
        <v>5</v>
      </c>
      <c r="S27" s="13" t="s">
        <v>5</v>
      </c>
      <c r="T27" s="13" t="s">
        <v>254</v>
      </c>
      <c r="U27" s="13" t="s">
        <v>5</v>
      </c>
      <c r="V27" s="13" t="s">
        <v>255</v>
      </c>
      <c r="W27" s="17" t="s">
        <v>294</v>
      </c>
      <c r="X27" s="22" t="s">
        <v>5</v>
      </c>
      <c r="Y27" s="22" t="s">
        <v>5</v>
      </c>
      <c r="Z27" s="7" t="s">
        <v>5</v>
      </c>
      <c r="AA27" s="7" t="s">
        <v>5</v>
      </c>
      <c r="AB27" s="7" t="s">
        <v>321</v>
      </c>
    </row>
    <row r="28" spans="1:28">
      <c r="A28" s="9" t="s">
        <v>66</v>
      </c>
      <c r="B28" s="7" t="s">
        <v>67</v>
      </c>
      <c r="C28" s="7" t="s">
        <v>67</v>
      </c>
      <c r="D28" s="7" t="s">
        <v>67</v>
      </c>
      <c r="E28" s="22" t="s">
        <v>102</v>
      </c>
      <c r="F28" s="22" t="s">
        <v>67</v>
      </c>
      <c r="G28" s="22" t="s">
        <v>67</v>
      </c>
      <c r="H28" s="22" t="s">
        <v>67</v>
      </c>
      <c r="I28" s="22" t="s">
        <v>67</v>
      </c>
      <c r="J28" s="22" t="s">
        <v>5</v>
      </c>
      <c r="K28" s="13" t="s">
        <v>67</v>
      </c>
      <c r="L28" s="13" t="s">
        <v>67</v>
      </c>
      <c r="M28" s="13" t="s">
        <v>67</v>
      </c>
      <c r="N28" s="13" t="s">
        <v>67</v>
      </c>
      <c r="O28" s="13" t="s">
        <v>67</v>
      </c>
      <c r="P28" s="13" t="s">
        <v>67</v>
      </c>
      <c r="Q28" s="13" t="s">
        <v>67</v>
      </c>
      <c r="R28" s="13" t="s">
        <v>67</v>
      </c>
      <c r="S28" s="13" t="s">
        <v>67</v>
      </c>
      <c r="T28" s="13" t="s">
        <v>256</v>
      </c>
      <c r="U28" s="13" t="s">
        <v>67</v>
      </c>
      <c r="V28" s="13" t="s">
        <v>67</v>
      </c>
      <c r="W28" s="22" t="s">
        <v>67</v>
      </c>
      <c r="X28" s="22" t="s">
        <v>295</v>
      </c>
      <c r="Y28" s="22" t="s">
        <v>67</v>
      </c>
      <c r="Z28" s="7" t="s">
        <v>304</v>
      </c>
      <c r="AA28" s="7" t="s">
        <v>36</v>
      </c>
      <c r="AB28" s="7" t="s">
        <v>67</v>
      </c>
    </row>
    <row r="29" spans="1:28">
      <c r="A29" s="9" t="s">
        <v>68</v>
      </c>
      <c r="B29" s="7" t="s">
        <v>69</v>
      </c>
      <c r="C29" s="7" t="s">
        <v>70</v>
      </c>
      <c r="D29" s="7" t="s">
        <v>71</v>
      </c>
      <c r="E29" s="22" t="s">
        <v>102</v>
      </c>
      <c r="F29" s="22" t="s">
        <v>70</v>
      </c>
      <c r="G29" s="22" t="s">
        <v>103</v>
      </c>
      <c r="H29" s="22" t="s">
        <v>103</v>
      </c>
      <c r="I29" s="22" t="s">
        <v>136</v>
      </c>
      <c r="J29" s="17" t="s">
        <v>131</v>
      </c>
      <c r="K29" s="13" t="s">
        <v>168</v>
      </c>
      <c r="L29" s="13" t="s">
        <v>169</v>
      </c>
      <c r="M29" s="13" t="s">
        <v>71</v>
      </c>
      <c r="N29" s="13" t="s">
        <v>71</v>
      </c>
      <c r="O29" s="13" t="s">
        <v>71</v>
      </c>
      <c r="P29" s="13" t="s">
        <v>71</v>
      </c>
      <c r="Q29" s="13" t="s">
        <v>71</v>
      </c>
      <c r="R29" s="13" t="s">
        <v>71</v>
      </c>
      <c r="S29" s="13" t="s">
        <v>41</v>
      </c>
      <c r="T29" s="13" t="s">
        <v>71</v>
      </c>
      <c r="U29" s="13" t="s">
        <v>71</v>
      </c>
      <c r="V29" s="13" t="s">
        <v>71</v>
      </c>
      <c r="W29" s="22" t="s">
        <v>71</v>
      </c>
      <c r="X29" s="22" t="s">
        <v>71</v>
      </c>
      <c r="Y29" s="22" t="s">
        <v>71</v>
      </c>
      <c r="Z29" s="7" t="s">
        <v>103</v>
      </c>
      <c r="AA29" s="7" t="s">
        <v>36</v>
      </c>
      <c r="AB29" s="7" t="s">
        <v>71</v>
      </c>
    </row>
    <row r="30" spans="1:28">
      <c r="A30" s="9" t="s">
        <v>72</v>
      </c>
      <c r="B30" s="10">
        <v>0</v>
      </c>
      <c r="C30" s="24">
        <v>0.1</v>
      </c>
      <c r="D30" s="7" t="s">
        <v>5</v>
      </c>
      <c r="E30" s="22" t="s">
        <v>102</v>
      </c>
      <c r="F30" s="26">
        <v>0</v>
      </c>
      <c r="G30" s="26">
        <v>0</v>
      </c>
      <c r="H30" s="26">
        <v>0</v>
      </c>
      <c r="I30" s="26">
        <v>0</v>
      </c>
      <c r="J30" s="22" t="s">
        <v>5</v>
      </c>
      <c r="K30" s="30">
        <v>0</v>
      </c>
      <c r="L30" s="30">
        <v>0</v>
      </c>
      <c r="M30" s="30">
        <v>0</v>
      </c>
      <c r="N30" s="30">
        <v>0</v>
      </c>
      <c r="O30" s="30">
        <v>0</v>
      </c>
      <c r="P30" s="30">
        <v>0</v>
      </c>
      <c r="Q30" s="30">
        <v>0</v>
      </c>
      <c r="R30" s="30">
        <v>0</v>
      </c>
      <c r="S30" s="13" t="s">
        <v>5</v>
      </c>
      <c r="T30" s="30">
        <v>0</v>
      </c>
      <c r="U30" s="30">
        <v>0</v>
      </c>
      <c r="V30" s="30">
        <v>0</v>
      </c>
      <c r="W30" s="27">
        <v>0.1</v>
      </c>
      <c r="X30" s="26">
        <v>0</v>
      </c>
      <c r="Y30" s="26">
        <v>0</v>
      </c>
      <c r="Z30" s="10">
        <v>0</v>
      </c>
      <c r="AA30" s="7" t="s">
        <v>36</v>
      </c>
      <c r="AB30" s="10">
        <v>0</v>
      </c>
    </row>
    <row r="31" spans="1:28">
      <c r="A31" s="9" t="s">
        <v>73</v>
      </c>
      <c r="B31" s="23" t="s">
        <v>41</v>
      </c>
      <c r="C31" s="23" t="s">
        <v>41</v>
      </c>
      <c r="D31" s="7" t="s">
        <v>5</v>
      </c>
      <c r="E31" s="22" t="s">
        <v>104</v>
      </c>
      <c r="F31" s="17" t="s">
        <v>41</v>
      </c>
      <c r="G31" s="17" t="s">
        <v>41</v>
      </c>
      <c r="H31" s="17" t="s">
        <v>41</v>
      </c>
      <c r="I31" s="17" t="s">
        <v>41</v>
      </c>
      <c r="J31" s="17" t="s">
        <v>41</v>
      </c>
      <c r="K31" s="18" t="s">
        <v>41</v>
      </c>
      <c r="L31" s="13" t="s">
        <v>5</v>
      </c>
      <c r="M31" s="18" t="s">
        <v>41</v>
      </c>
      <c r="N31" s="18" t="s">
        <v>41</v>
      </c>
      <c r="O31" s="13" t="s">
        <v>5</v>
      </c>
      <c r="P31" s="18" t="s">
        <v>41</v>
      </c>
      <c r="Q31" s="18" t="s">
        <v>41</v>
      </c>
      <c r="R31" s="13" t="s">
        <v>5</v>
      </c>
      <c r="S31" s="13" t="s">
        <v>5</v>
      </c>
      <c r="T31" s="18" t="s">
        <v>41</v>
      </c>
      <c r="U31" s="13" t="s">
        <v>5</v>
      </c>
      <c r="V31" s="13" t="s">
        <v>5</v>
      </c>
      <c r="W31" s="17" t="s">
        <v>41</v>
      </c>
      <c r="X31" s="22" t="s">
        <v>5</v>
      </c>
      <c r="Y31" s="17" t="s">
        <v>41</v>
      </c>
      <c r="Z31" s="7" t="s">
        <v>5</v>
      </c>
      <c r="AA31" s="7" t="s">
        <v>5</v>
      </c>
      <c r="AB31" s="23" t="s">
        <v>41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T39"/>
  <sheetViews>
    <sheetView zoomScale="70" zoomScaleNormal="70" workbookViewId="0">
      <pane ySplit="405"/>
      <selection activeCell="L14" sqref="L14"/>
      <selection pane="bottomLeft" activeCell="A8" sqref="A8"/>
    </sheetView>
  </sheetViews>
  <sheetFormatPr baseColWidth="10" defaultColWidth="9.140625" defaultRowHeight="15"/>
  <cols>
    <col min="1" max="1" width="59.5703125" bestFit="1" customWidth="1"/>
    <col min="2" max="2" width="26.28515625" bestFit="1" customWidth="1"/>
    <col min="3" max="3" width="39.140625" bestFit="1" customWidth="1"/>
    <col min="4" max="4" width="45.28515625" bestFit="1" customWidth="1"/>
    <col min="5" max="6" width="71" bestFit="1" customWidth="1"/>
    <col min="7" max="7" width="56.7109375" bestFit="1" customWidth="1"/>
    <col min="8" max="8" width="45.85546875" bestFit="1" customWidth="1"/>
    <col min="9" max="9" width="32.140625" bestFit="1" customWidth="1"/>
    <col min="10" max="10" width="43.5703125" bestFit="1" customWidth="1"/>
    <col min="11" max="11" width="44.5703125" bestFit="1" customWidth="1"/>
    <col min="12" max="12" width="43.5703125" bestFit="1" customWidth="1"/>
    <col min="13" max="14" width="51.7109375" bestFit="1" customWidth="1"/>
    <col min="15" max="15" width="40.140625" bestFit="1" customWidth="1"/>
    <col min="16" max="17" width="40.140625" hidden="1" customWidth="1"/>
    <col min="18" max="18" width="95.85546875" hidden="1" customWidth="1"/>
    <col min="19" max="19" width="60.7109375" hidden="1" customWidth="1"/>
    <col min="20" max="21" width="81.28515625" hidden="1" customWidth="1"/>
    <col min="22" max="22" width="89.42578125" hidden="1" customWidth="1"/>
    <col min="23" max="23" width="89.42578125" bestFit="1" customWidth="1"/>
    <col min="24" max="24" width="89.42578125" hidden="1" customWidth="1"/>
    <col min="25" max="25" width="44.28515625" bestFit="1" customWidth="1"/>
    <col min="26" max="26" width="41.42578125" bestFit="1" customWidth="1"/>
    <col min="27" max="27" width="80" bestFit="1" customWidth="1"/>
    <col min="28" max="28" width="34.28515625" bestFit="1" customWidth="1"/>
    <col min="29" max="29" width="32.140625" bestFit="1" customWidth="1"/>
    <col min="30" max="30" width="41.5703125" bestFit="1" customWidth="1"/>
    <col min="31" max="31" width="81.5703125" bestFit="1" customWidth="1"/>
    <col min="32" max="32" width="61" bestFit="1" customWidth="1"/>
    <col min="33" max="33" width="68.85546875" bestFit="1" customWidth="1"/>
    <col min="34" max="34" width="38.140625" bestFit="1" customWidth="1"/>
    <col min="35" max="35" width="50.85546875" bestFit="1" customWidth="1"/>
    <col min="36" max="37" width="47" hidden="1" customWidth="1"/>
    <col min="38" max="38" width="96.42578125" hidden="1" customWidth="1"/>
    <col min="39" max="41" width="65.5703125" hidden="1" customWidth="1"/>
    <col min="42" max="43" width="41.7109375" hidden="1" customWidth="1"/>
    <col min="44" max="45" width="40.140625" hidden="1" customWidth="1"/>
    <col min="46" max="46" width="48.140625" hidden="1" customWidth="1"/>
  </cols>
  <sheetData>
    <row r="1" spans="1:46">
      <c r="A1" s="11" t="s">
        <v>377</v>
      </c>
      <c r="B1" s="8" t="s">
        <v>323</v>
      </c>
      <c r="C1" s="8" t="s">
        <v>324</v>
      </c>
      <c r="D1" s="8" t="s">
        <v>325</v>
      </c>
      <c r="E1" s="8" t="s">
        <v>378</v>
      </c>
      <c r="F1" s="8" t="s">
        <v>379</v>
      </c>
      <c r="G1" s="8" t="s">
        <v>380</v>
      </c>
      <c r="H1" s="8" t="s">
        <v>394</v>
      </c>
      <c r="I1" s="8" t="s">
        <v>395</v>
      </c>
      <c r="J1" s="8" t="s">
        <v>396</v>
      </c>
      <c r="K1" s="8" t="s">
        <v>409</v>
      </c>
      <c r="L1" s="8" t="s">
        <v>410</v>
      </c>
      <c r="M1" s="8" t="s">
        <v>411</v>
      </c>
      <c r="N1" s="12" t="s">
        <v>415</v>
      </c>
      <c r="O1" s="12" t="s">
        <v>416</v>
      </c>
      <c r="P1" s="12" t="s">
        <v>417</v>
      </c>
      <c r="Q1" s="12" t="s">
        <v>429</v>
      </c>
      <c r="R1" s="12" t="s">
        <v>430</v>
      </c>
      <c r="S1" s="12" t="s">
        <v>431</v>
      </c>
      <c r="T1" s="12" t="s">
        <v>443</v>
      </c>
      <c r="U1" s="12" t="s">
        <v>444</v>
      </c>
      <c r="V1" s="12" t="s">
        <v>445</v>
      </c>
      <c r="W1" s="12" t="s">
        <v>453</v>
      </c>
      <c r="X1" s="12" t="s">
        <v>454</v>
      </c>
      <c r="Y1" s="12" t="s">
        <v>455</v>
      </c>
      <c r="Z1" s="12" t="s">
        <v>460</v>
      </c>
      <c r="AA1" s="12" t="s">
        <v>461</v>
      </c>
      <c r="AB1" s="12" t="s">
        <v>462</v>
      </c>
      <c r="AC1" s="12" t="s">
        <v>471</v>
      </c>
      <c r="AD1" s="12" t="s">
        <v>472</v>
      </c>
      <c r="AE1" s="12" t="s">
        <v>473</v>
      </c>
      <c r="AF1" s="14" t="s">
        <v>483</v>
      </c>
      <c r="AG1" s="14" t="s">
        <v>484</v>
      </c>
      <c r="AH1" s="14" t="s">
        <v>485</v>
      </c>
      <c r="AI1" s="12" t="s">
        <v>492</v>
      </c>
      <c r="AJ1" s="12" t="s">
        <v>493</v>
      </c>
      <c r="AK1" s="12" t="s">
        <v>494</v>
      </c>
      <c r="AL1" s="12" t="s">
        <v>499</v>
      </c>
      <c r="AM1" s="12" t="s">
        <v>500</v>
      </c>
      <c r="AN1" s="12" t="s">
        <v>501</v>
      </c>
      <c r="AO1" s="12" t="s">
        <v>511</v>
      </c>
      <c r="AP1" s="12" t="s">
        <v>512</v>
      </c>
      <c r="AQ1" s="12" t="s">
        <v>513</v>
      </c>
      <c r="AR1" s="12" t="s">
        <v>519</v>
      </c>
      <c r="AS1" s="12" t="s">
        <v>520</v>
      </c>
      <c r="AT1" s="12" t="s">
        <v>521</v>
      </c>
    </row>
    <row r="2" spans="1:46">
      <c r="A2" s="9" t="s">
        <v>326</v>
      </c>
      <c r="B2" s="7" t="s">
        <v>327</v>
      </c>
      <c r="C2" s="7" t="s">
        <v>327</v>
      </c>
      <c r="D2" s="7" t="s">
        <v>327</v>
      </c>
      <c r="E2" s="7" t="s">
        <v>327</v>
      </c>
      <c r="F2" s="7" t="s">
        <v>327</v>
      </c>
      <c r="G2" s="7" t="s">
        <v>327</v>
      </c>
      <c r="H2" s="7" t="s">
        <v>327</v>
      </c>
      <c r="I2" s="7" t="s">
        <v>327</v>
      </c>
      <c r="J2" s="7" t="s">
        <v>327</v>
      </c>
      <c r="K2" s="7" t="s">
        <v>327</v>
      </c>
      <c r="L2" s="7" t="s">
        <v>327</v>
      </c>
      <c r="M2" s="7" t="s">
        <v>327</v>
      </c>
      <c r="N2" s="13" t="s">
        <v>327</v>
      </c>
      <c r="O2" s="13" t="s">
        <v>327</v>
      </c>
      <c r="P2" s="13" t="s">
        <v>327</v>
      </c>
      <c r="Q2" s="13" t="s">
        <v>327</v>
      </c>
      <c r="R2" s="13" t="s">
        <v>327</v>
      </c>
      <c r="S2" s="13" t="s">
        <v>327</v>
      </c>
      <c r="T2" s="13" t="s">
        <v>327</v>
      </c>
      <c r="U2" s="13" t="s">
        <v>327</v>
      </c>
      <c r="V2" s="13" t="s">
        <v>327</v>
      </c>
      <c r="W2" s="13" t="s">
        <v>327</v>
      </c>
      <c r="X2" s="13" t="s">
        <v>327</v>
      </c>
      <c r="Y2" s="13" t="s">
        <v>327</v>
      </c>
      <c r="Z2" s="13" t="s">
        <v>327</v>
      </c>
      <c r="AA2" s="13" t="s">
        <v>327</v>
      </c>
      <c r="AB2" s="13" t="s">
        <v>327</v>
      </c>
      <c r="AC2" s="13" t="s">
        <v>327</v>
      </c>
      <c r="AD2" s="13" t="s">
        <v>327</v>
      </c>
      <c r="AE2" s="13" t="s">
        <v>327</v>
      </c>
      <c r="AF2" s="22" t="s">
        <v>327</v>
      </c>
      <c r="AG2" s="22" t="s">
        <v>327</v>
      </c>
      <c r="AH2" s="22" t="s">
        <v>327</v>
      </c>
      <c r="AI2" s="13" t="s">
        <v>327</v>
      </c>
      <c r="AJ2" s="13" t="s">
        <v>327</v>
      </c>
      <c r="AK2" s="13" t="s">
        <v>327</v>
      </c>
      <c r="AL2" s="13" t="s">
        <v>327</v>
      </c>
      <c r="AM2" s="13" t="s">
        <v>327</v>
      </c>
      <c r="AN2" s="13" t="s">
        <v>327</v>
      </c>
      <c r="AO2" s="13" t="s">
        <v>327</v>
      </c>
      <c r="AP2" s="13" t="s">
        <v>327</v>
      </c>
      <c r="AQ2" s="13" t="s">
        <v>327</v>
      </c>
      <c r="AR2" s="13" t="s">
        <v>327</v>
      </c>
      <c r="AS2" s="13" t="s">
        <v>327</v>
      </c>
      <c r="AT2" s="13" t="s">
        <v>327</v>
      </c>
    </row>
    <row r="3" spans="1:46">
      <c r="A3" s="9" t="s">
        <v>328</v>
      </c>
      <c r="B3" s="7">
        <v>1</v>
      </c>
      <c r="C3" s="7">
        <v>1</v>
      </c>
      <c r="D3" s="7">
        <v>1</v>
      </c>
      <c r="E3" s="7">
        <v>1</v>
      </c>
      <c r="F3" s="7">
        <v>1</v>
      </c>
      <c r="G3" s="7">
        <v>1</v>
      </c>
      <c r="H3" s="7">
        <v>1</v>
      </c>
      <c r="I3" s="7">
        <v>1</v>
      </c>
      <c r="J3" s="7">
        <v>1</v>
      </c>
      <c r="K3" s="7">
        <v>2</v>
      </c>
      <c r="L3" s="7">
        <v>1</v>
      </c>
      <c r="M3" s="7">
        <v>1</v>
      </c>
      <c r="N3" s="13">
        <v>7</v>
      </c>
      <c r="O3" s="13">
        <v>1</v>
      </c>
      <c r="P3" s="13">
        <v>3</v>
      </c>
      <c r="Q3" s="13">
        <v>1</v>
      </c>
      <c r="R3" s="13">
        <v>1</v>
      </c>
      <c r="S3" s="13">
        <v>50</v>
      </c>
      <c r="T3" s="13">
        <v>1</v>
      </c>
      <c r="U3" s="13">
        <v>7</v>
      </c>
      <c r="V3" s="13">
        <v>1</v>
      </c>
      <c r="W3" s="13">
        <v>1</v>
      </c>
      <c r="X3" s="13">
        <v>2</v>
      </c>
      <c r="Y3" s="13">
        <v>1</v>
      </c>
      <c r="Z3" s="13">
        <v>2</v>
      </c>
      <c r="AA3" s="13">
        <v>1</v>
      </c>
      <c r="AB3" s="13">
        <v>1</v>
      </c>
      <c r="AC3" s="13">
        <v>1</v>
      </c>
      <c r="AD3" s="13">
        <v>1</v>
      </c>
      <c r="AE3" s="13" t="s">
        <v>474</v>
      </c>
      <c r="AF3" s="22">
        <v>2</v>
      </c>
      <c r="AG3" s="22">
        <v>1</v>
      </c>
      <c r="AH3" s="22">
        <v>1</v>
      </c>
      <c r="AI3" s="13">
        <v>1</v>
      </c>
      <c r="AJ3" s="13">
        <v>2</v>
      </c>
      <c r="AK3" s="13">
        <v>1</v>
      </c>
      <c r="AL3" s="13">
        <v>2</v>
      </c>
      <c r="AM3" s="13">
        <v>1</v>
      </c>
      <c r="AN3" s="13">
        <v>1</v>
      </c>
      <c r="AO3" s="13">
        <v>1</v>
      </c>
      <c r="AP3" s="13">
        <v>1</v>
      </c>
      <c r="AQ3" s="13">
        <v>1</v>
      </c>
      <c r="AR3" s="13">
        <v>1</v>
      </c>
      <c r="AS3" s="13">
        <v>1</v>
      </c>
      <c r="AT3" s="13">
        <v>1</v>
      </c>
    </row>
    <row r="4" spans="1:46">
      <c r="A4" s="9" t="s">
        <v>329</v>
      </c>
      <c r="B4" s="7" t="s">
        <v>330</v>
      </c>
      <c r="C4" s="7" t="s">
        <v>330</v>
      </c>
      <c r="D4" s="7" t="s">
        <v>330</v>
      </c>
      <c r="E4" s="7" t="s">
        <v>330</v>
      </c>
      <c r="F4" s="7" t="s">
        <v>330</v>
      </c>
      <c r="G4" s="7" t="s">
        <v>330</v>
      </c>
      <c r="H4" s="7" t="s">
        <v>330</v>
      </c>
      <c r="I4" s="7" t="s">
        <v>330</v>
      </c>
      <c r="J4" s="7" t="s">
        <v>330</v>
      </c>
      <c r="K4" s="7" t="s">
        <v>330</v>
      </c>
      <c r="L4" s="7" t="s">
        <v>330</v>
      </c>
      <c r="M4" s="7">
        <v>50</v>
      </c>
      <c r="N4" s="13" t="s">
        <v>330</v>
      </c>
      <c r="O4" s="13" t="s">
        <v>330</v>
      </c>
      <c r="P4" s="13" t="s">
        <v>330</v>
      </c>
      <c r="Q4" s="13" t="s">
        <v>330</v>
      </c>
      <c r="R4" s="13">
        <v>50</v>
      </c>
      <c r="S4" s="13" t="s">
        <v>330</v>
      </c>
      <c r="T4" s="13">
        <v>99</v>
      </c>
      <c r="U4" s="13" t="s">
        <v>330</v>
      </c>
      <c r="V4" s="13" t="s">
        <v>330</v>
      </c>
      <c r="W4" s="13" t="s">
        <v>330</v>
      </c>
      <c r="X4" s="13" t="s">
        <v>330</v>
      </c>
      <c r="Y4" s="13">
        <v>30</v>
      </c>
      <c r="Z4" s="13" t="s">
        <v>330</v>
      </c>
      <c r="AA4" s="13" t="s">
        <v>330</v>
      </c>
      <c r="AB4" s="13">
        <v>249</v>
      </c>
      <c r="AC4" s="13">
        <v>40</v>
      </c>
      <c r="AD4" s="13" t="s">
        <v>330</v>
      </c>
      <c r="AE4" s="13">
        <v>50</v>
      </c>
      <c r="AF4" s="22" t="s">
        <v>330</v>
      </c>
      <c r="AG4" s="22" t="s">
        <v>330</v>
      </c>
      <c r="AH4" s="22">
        <v>25</v>
      </c>
      <c r="AI4" s="13" t="s">
        <v>330</v>
      </c>
      <c r="AJ4" s="13" t="s">
        <v>330</v>
      </c>
      <c r="AK4" s="13" t="s">
        <v>330</v>
      </c>
      <c r="AL4" s="13" t="s">
        <v>330</v>
      </c>
      <c r="AM4" s="13">
        <v>20</v>
      </c>
      <c r="AN4" s="13">
        <v>50</v>
      </c>
      <c r="AO4" s="13" t="s">
        <v>330</v>
      </c>
      <c r="AP4" s="13" t="s">
        <v>330</v>
      </c>
      <c r="AQ4" s="13" t="s">
        <v>330</v>
      </c>
      <c r="AR4" s="13" t="s">
        <v>330</v>
      </c>
      <c r="AS4" s="13" t="s">
        <v>330</v>
      </c>
      <c r="AT4" s="13" t="s">
        <v>330</v>
      </c>
    </row>
    <row r="5" spans="1:46">
      <c r="A5" s="9" t="s">
        <v>331</v>
      </c>
      <c r="B5" s="7" t="s">
        <v>332</v>
      </c>
      <c r="C5" s="7" t="s">
        <v>332</v>
      </c>
      <c r="D5" s="7" t="s">
        <v>332</v>
      </c>
      <c r="E5" s="23" t="s">
        <v>381</v>
      </c>
      <c r="F5" s="23" t="s">
        <v>381</v>
      </c>
      <c r="G5" s="7" t="s">
        <v>332</v>
      </c>
      <c r="H5" s="7" t="s">
        <v>332</v>
      </c>
      <c r="I5" s="7" t="s">
        <v>332</v>
      </c>
      <c r="J5" s="7" t="s">
        <v>332</v>
      </c>
      <c r="K5" s="7" t="s">
        <v>332</v>
      </c>
      <c r="L5" s="7" t="s">
        <v>332</v>
      </c>
      <c r="M5" s="7" t="s">
        <v>332</v>
      </c>
      <c r="N5" s="13" t="s">
        <v>332</v>
      </c>
      <c r="O5" s="13" t="s">
        <v>418</v>
      </c>
      <c r="P5" s="13" t="s">
        <v>332</v>
      </c>
      <c r="Q5" s="13" t="s">
        <v>332</v>
      </c>
      <c r="R5" s="13" t="s">
        <v>332</v>
      </c>
      <c r="S5" s="13" t="s">
        <v>332</v>
      </c>
      <c r="T5" s="13" t="s">
        <v>332</v>
      </c>
      <c r="U5" s="13" t="s">
        <v>332</v>
      </c>
      <c r="V5" s="13" t="s">
        <v>332</v>
      </c>
      <c r="W5" s="13" t="s">
        <v>332</v>
      </c>
      <c r="X5" s="13" t="s">
        <v>332</v>
      </c>
      <c r="Y5" s="13" t="s">
        <v>332</v>
      </c>
      <c r="Z5" s="13" t="s">
        <v>332</v>
      </c>
      <c r="AA5" s="13" t="s">
        <v>332</v>
      </c>
      <c r="AB5" s="13" t="s">
        <v>332</v>
      </c>
      <c r="AC5" s="13" t="s">
        <v>332</v>
      </c>
      <c r="AD5" s="13" t="s">
        <v>332</v>
      </c>
      <c r="AE5" s="13" t="s">
        <v>332</v>
      </c>
      <c r="AF5" s="22" t="s">
        <v>332</v>
      </c>
      <c r="AG5" s="22" t="s">
        <v>486</v>
      </c>
      <c r="AH5" s="22" t="s">
        <v>486</v>
      </c>
      <c r="AI5" s="13" t="s">
        <v>332</v>
      </c>
      <c r="AJ5" s="13" t="s">
        <v>332</v>
      </c>
      <c r="AK5" s="13" t="s">
        <v>332</v>
      </c>
      <c r="AL5" s="13" t="s">
        <v>332</v>
      </c>
      <c r="AM5" s="13" t="s">
        <v>332</v>
      </c>
      <c r="AN5" s="13" t="s">
        <v>332</v>
      </c>
      <c r="AO5" s="13" t="s">
        <v>332</v>
      </c>
      <c r="AP5" s="13" t="s">
        <v>332</v>
      </c>
      <c r="AQ5" s="13" t="s">
        <v>332</v>
      </c>
      <c r="AR5" s="13" t="s">
        <v>332</v>
      </c>
      <c r="AS5" s="13" t="s">
        <v>332</v>
      </c>
      <c r="AT5" s="13" t="s">
        <v>332</v>
      </c>
    </row>
    <row r="6" spans="1:46">
      <c r="A6" s="9" t="s">
        <v>333</v>
      </c>
      <c r="B6" s="7" t="s">
        <v>41</v>
      </c>
      <c r="C6" s="7" t="s">
        <v>41</v>
      </c>
      <c r="D6" s="7" t="s">
        <v>41</v>
      </c>
      <c r="E6" s="7" t="s">
        <v>41</v>
      </c>
      <c r="F6" s="7" t="s">
        <v>41</v>
      </c>
      <c r="G6" s="7" t="s">
        <v>41</v>
      </c>
      <c r="H6" s="7" t="s">
        <v>41</v>
      </c>
      <c r="I6" s="7" t="s">
        <v>41</v>
      </c>
      <c r="J6" s="7" t="s">
        <v>41</v>
      </c>
      <c r="K6" s="7" t="s">
        <v>41</v>
      </c>
      <c r="L6" s="7" t="s">
        <v>41</v>
      </c>
      <c r="M6" s="7" t="s">
        <v>41</v>
      </c>
      <c r="N6" s="13" t="s">
        <v>41</v>
      </c>
      <c r="O6" s="13" t="s">
        <v>41</v>
      </c>
      <c r="P6" s="13" t="s">
        <v>41</v>
      </c>
      <c r="Q6" s="13" t="s">
        <v>41</v>
      </c>
      <c r="R6" s="13" t="s">
        <v>432</v>
      </c>
      <c r="S6" s="13" t="s">
        <v>5</v>
      </c>
      <c r="T6" s="13" t="s">
        <v>41</v>
      </c>
      <c r="U6" s="13" t="s">
        <v>41</v>
      </c>
      <c r="V6" s="13" t="s">
        <v>41</v>
      </c>
      <c r="W6" s="13" t="s">
        <v>41</v>
      </c>
      <c r="X6" s="13" t="s">
        <v>41</v>
      </c>
      <c r="Y6" s="13" t="s">
        <v>41</v>
      </c>
      <c r="Z6" s="13" t="s">
        <v>41</v>
      </c>
      <c r="AA6" s="13" t="s">
        <v>41</v>
      </c>
      <c r="AB6" s="13" t="s">
        <v>41</v>
      </c>
      <c r="AC6" s="13" t="s">
        <v>41</v>
      </c>
      <c r="AD6" s="13" t="s">
        <v>41</v>
      </c>
      <c r="AE6" s="13" t="s">
        <v>41</v>
      </c>
      <c r="AF6" s="22" t="s">
        <v>41</v>
      </c>
      <c r="AG6" s="22" t="s">
        <v>41</v>
      </c>
      <c r="AH6" s="22" t="s">
        <v>41</v>
      </c>
      <c r="AI6" s="13" t="s">
        <v>41</v>
      </c>
      <c r="AJ6" s="13" t="s">
        <v>41</v>
      </c>
      <c r="AK6" s="13" t="s">
        <v>41</v>
      </c>
      <c r="AL6" s="13" t="s">
        <v>41</v>
      </c>
      <c r="AM6" s="13" t="s">
        <v>5</v>
      </c>
      <c r="AN6" s="13" t="s">
        <v>41</v>
      </c>
      <c r="AO6" s="13" t="s">
        <v>5</v>
      </c>
      <c r="AP6" s="13" t="s">
        <v>41</v>
      </c>
      <c r="AQ6" s="13" t="s">
        <v>41</v>
      </c>
      <c r="AR6" s="13" t="s">
        <v>41</v>
      </c>
      <c r="AS6" s="13" t="s">
        <v>41</v>
      </c>
      <c r="AT6" s="13" t="s">
        <v>41</v>
      </c>
    </row>
    <row r="7" spans="1:46">
      <c r="A7" s="9" t="s">
        <v>334</v>
      </c>
      <c r="B7" s="7">
        <v>1</v>
      </c>
      <c r="C7" s="7">
        <v>1</v>
      </c>
      <c r="D7" s="7">
        <v>1</v>
      </c>
      <c r="E7" s="7">
        <v>1</v>
      </c>
      <c r="F7" s="7">
        <v>1</v>
      </c>
      <c r="G7" s="7">
        <v>1</v>
      </c>
      <c r="H7" s="7">
        <v>1</v>
      </c>
      <c r="I7" s="7">
        <v>1</v>
      </c>
      <c r="J7" s="7">
        <v>1</v>
      </c>
      <c r="K7" s="7">
        <v>1</v>
      </c>
      <c r="L7" s="7">
        <v>1</v>
      </c>
      <c r="M7" s="7">
        <v>1</v>
      </c>
      <c r="N7" s="13">
        <v>1</v>
      </c>
      <c r="O7" s="13">
        <v>1</v>
      </c>
      <c r="P7" s="13">
        <v>1</v>
      </c>
      <c r="Q7" s="13">
        <v>1</v>
      </c>
      <c r="R7" s="13">
        <v>1</v>
      </c>
      <c r="S7" s="13">
        <v>1</v>
      </c>
      <c r="T7" s="13">
        <v>2</v>
      </c>
      <c r="U7" s="13">
        <v>2</v>
      </c>
      <c r="V7" s="13">
        <v>2</v>
      </c>
      <c r="W7" s="13">
        <v>1</v>
      </c>
      <c r="X7" s="13">
        <v>2</v>
      </c>
      <c r="Y7" s="13">
        <v>1</v>
      </c>
      <c r="Z7" s="13">
        <v>2</v>
      </c>
      <c r="AA7" s="13">
        <v>1</v>
      </c>
      <c r="AB7" s="13">
        <v>1</v>
      </c>
      <c r="AC7" s="13">
        <v>1</v>
      </c>
      <c r="AD7" s="13" t="s">
        <v>475</v>
      </c>
      <c r="AE7" s="13">
        <v>1</v>
      </c>
      <c r="AF7" s="22">
        <v>1</v>
      </c>
      <c r="AG7" s="22">
        <v>1</v>
      </c>
      <c r="AH7" s="22">
        <v>1</v>
      </c>
      <c r="AI7" s="13">
        <v>1</v>
      </c>
      <c r="AJ7" s="13">
        <v>3</v>
      </c>
      <c r="AK7" s="13">
        <v>1</v>
      </c>
      <c r="AL7" s="13">
        <v>2</v>
      </c>
      <c r="AM7" s="13">
        <v>1</v>
      </c>
      <c r="AN7" s="13">
        <v>1</v>
      </c>
      <c r="AO7" s="13">
        <v>1</v>
      </c>
      <c r="AP7" s="13">
        <v>1</v>
      </c>
      <c r="AQ7" s="13">
        <v>1</v>
      </c>
      <c r="AR7" s="13">
        <v>2</v>
      </c>
      <c r="AS7" s="13">
        <v>1</v>
      </c>
      <c r="AT7" s="13">
        <v>1</v>
      </c>
    </row>
    <row r="8" spans="1:46">
      <c r="A8" s="9" t="s">
        <v>335</v>
      </c>
      <c r="B8" s="7" t="s">
        <v>332</v>
      </c>
      <c r="C8" s="7" t="s">
        <v>332</v>
      </c>
      <c r="D8" s="7" t="s">
        <v>332</v>
      </c>
      <c r="E8" s="23" t="s">
        <v>382</v>
      </c>
      <c r="F8" s="23" t="s">
        <v>382</v>
      </c>
      <c r="G8" s="7" t="s">
        <v>332</v>
      </c>
      <c r="H8" s="23" t="s">
        <v>397</v>
      </c>
      <c r="I8" s="7" t="s">
        <v>332</v>
      </c>
      <c r="J8" s="7" t="s">
        <v>332</v>
      </c>
      <c r="K8" s="7" t="s">
        <v>332</v>
      </c>
      <c r="L8" s="7" t="s">
        <v>332</v>
      </c>
      <c r="M8" s="7" t="s">
        <v>332</v>
      </c>
      <c r="N8" s="13" t="s">
        <v>332</v>
      </c>
      <c r="O8" s="13" t="s">
        <v>332</v>
      </c>
      <c r="P8" s="13" t="s">
        <v>332</v>
      </c>
      <c r="Q8" s="13" t="s">
        <v>332</v>
      </c>
      <c r="R8" s="13" t="s">
        <v>332</v>
      </c>
      <c r="S8" s="13" t="s">
        <v>332</v>
      </c>
      <c r="T8" s="13" t="s">
        <v>446</v>
      </c>
      <c r="U8" s="13" t="s">
        <v>446</v>
      </c>
      <c r="V8" s="13" t="s">
        <v>332</v>
      </c>
      <c r="W8" s="13" t="s">
        <v>332</v>
      </c>
      <c r="X8" s="13" t="s">
        <v>332</v>
      </c>
      <c r="Y8" s="13" t="s">
        <v>332</v>
      </c>
      <c r="Z8" s="13" t="s">
        <v>332</v>
      </c>
      <c r="AA8" s="13" t="s">
        <v>463</v>
      </c>
      <c r="AB8" s="13" t="s">
        <v>332</v>
      </c>
      <c r="AC8" s="13" t="s">
        <v>332</v>
      </c>
      <c r="AD8" s="13" t="s">
        <v>332</v>
      </c>
      <c r="AE8" s="13" t="s">
        <v>332</v>
      </c>
      <c r="AF8" s="22" t="s">
        <v>332</v>
      </c>
      <c r="AG8" s="22" t="s">
        <v>487</v>
      </c>
      <c r="AH8" s="22" t="s">
        <v>332</v>
      </c>
      <c r="AI8" s="13" t="s">
        <v>332</v>
      </c>
      <c r="AJ8" s="13" t="s">
        <v>332</v>
      </c>
      <c r="AK8" s="13" t="s">
        <v>332</v>
      </c>
      <c r="AL8" s="13" t="s">
        <v>332</v>
      </c>
      <c r="AM8" s="13" t="s">
        <v>502</v>
      </c>
      <c r="AN8" s="13" t="s">
        <v>502</v>
      </c>
      <c r="AO8" s="13" t="s">
        <v>502</v>
      </c>
      <c r="AP8" s="13" t="s">
        <v>514</v>
      </c>
      <c r="AQ8" s="13" t="s">
        <v>514</v>
      </c>
      <c r="AR8" s="13" t="s">
        <v>332</v>
      </c>
      <c r="AS8" s="13" t="s">
        <v>332</v>
      </c>
      <c r="AT8" s="13" t="s">
        <v>332</v>
      </c>
    </row>
    <row r="9" spans="1:46">
      <c r="A9" s="9" t="s">
        <v>336</v>
      </c>
      <c r="B9" s="7" t="s">
        <v>5</v>
      </c>
      <c r="C9" s="7" t="s">
        <v>5</v>
      </c>
      <c r="D9" s="7" t="s">
        <v>5</v>
      </c>
      <c r="E9" s="23" t="s">
        <v>383</v>
      </c>
      <c r="F9" s="23" t="s">
        <v>383</v>
      </c>
      <c r="G9" s="7" t="s">
        <v>5</v>
      </c>
      <c r="H9" s="23" t="s">
        <v>398</v>
      </c>
      <c r="I9" s="7" t="s">
        <v>5</v>
      </c>
      <c r="J9" s="7" t="s">
        <v>5</v>
      </c>
      <c r="K9" s="7" t="s">
        <v>5</v>
      </c>
      <c r="L9" s="7" t="s">
        <v>5</v>
      </c>
      <c r="M9" s="7" t="s">
        <v>5</v>
      </c>
      <c r="N9" s="13" t="s">
        <v>5</v>
      </c>
      <c r="O9" s="13" t="s">
        <v>5</v>
      </c>
      <c r="P9" s="13" t="s">
        <v>419</v>
      </c>
      <c r="Q9" s="13" t="s">
        <v>5</v>
      </c>
      <c r="R9" s="13" t="s">
        <v>5</v>
      </c>
      <c r="S9" s="13" t="s">
        <v>5</v>
      </c>
      <c r="T9" s="13" t="s">
        <v>447</v>
      </c>
      <c r="U9" s="13" t="s">
        <v>447</v>
      </c>
      <c r="V9" s="13" t="s">
        <v>5</v>
      </c>
      <c r="W9" s="13" t="s">
        <v>5</v>
      </c>
      <c r="X9" s="13" t="s">
        <v>5</v>
      </c>
      <c r="Y9" s="13" t="s">
        <v>5</v>
      </c>
      <c r="Z9" s="13" t="s">
        <v>5</v>
      </c>
      <c r="AA9" s="13" t="s">
        <v>464</v>
      </c>
      <c r="AB9" s="13" t="s">
        <v>5</v>
      </c>
      <c r="AC9" s="13" t="s">
        <v>5</v>
      </c>
      <c r="AD9" s="13" t="s">
        <v>5</v>
      </c>
      <c r="AE9" s="13" t="s">
        <v>5</v>
      </c>
      <c r="AF9" s="22" t="s">
        <v>5</v>
      </c>
      <c r="AG9" s="22" t="s">
        <v>5</v>
      </c>
      <c r="AH9" s="22" t="s">
        <v>5</v>
      </c>
      <c r="AI9" s="13" t="s">
        <v>5</v>
      </c>
      <c r="AJ9" s="13" t="s">
        <v>5</v>
      </c>
      <c r="AK9" s="13" t="s">
        <v>5</v>
      </c>
      <c r="AL9" s="13" t="s">
        <v>5</v>
      </c>
      <c r="AM9" s="13" t="s">
        <v>419</v>
      </c>
      <c r="AN9" s="13" t="s">
        <v>419</v>
      </c>
      <c r="AO9" s="13" t="s">
        <v>419</v>
      </c>
      <c r="AP9" s="13" t="s">
        <v>419</v>
      </c>
      <c r="AQ9" s="13" t="s">
        <v>419</v>
      </c>
      <c r="AR9" s="13" t="s">
        <v>5</v>
      </c>
      <c r="AS9" s="13" t="s">
        <v>5</v>
      </c>
      <c r="AT9" s="13" t="s">
        <v>5</v>
      </c>
    </row>
    <row r="10" spans="1:46">
      <c r="A10" s="9" t="s">
        <v>337</v>
      </c>
      <c r="B10" s="7" t="s">
        <v>41</v>
      </c>
      <c r="C10" s="7" t="s">
        <v>41</v>
      </c>
      <c r="D10" s="7" t="s">
        <v>41</v>
      </c>
      <c r="E10" s="23" t="s">
        <v>384</v>
      </c>
      <c r="F10" s="23" t="s">
        <v>384</v>
      </c>
      <c r="G10" s="7" t="s">
        <v>41</v>
      </c>
      <c r="H10" s="7" t="s">
        <v>41</v>
      </c>
      <c r="I10" s="7" t="s">
        <v>41</v>
      </c>
      <c r="J10" s="7" t="s">
        <v>41</v>
      </c>
      <c r="K10" s="7" t="s">
        <v>41</v>
      </c>
      <c r="L10" s="7" t="s">
        <v>41</v>
      </c>
      <c r="M10" s="7" t="s">
        <v>41</v>
      </c>
      <c r="N10" s="13" t="s">
        <v>41</v>
      </c>
      <c r="O10" s="13" t="s">
        <v>41</v>
      </c>
      <c r="P10" s="13" t="s">
        <v>41</v>
      </c>
      <c r="Q10" s="13" t="s">
        <v>41</v>
      </c>
      <c r="R10" s="13" t="s">
        <v>433</v>
      </c>
      <c r="S10" s="13" t="s">
        <v>41</v>
      </c>
      <c r="T10" s="18" t="s">
        <v>5</v>
      </c>
      <c r="U10" s="18" t="s">
        <v>5</v>
      </c>
      <c r="V10" s="18" t="s">
        <v>5</v>
      </c>
      <c r="W10" s="18" t="s">
        <v>456</v>
      </c>
      <c r="X10" s="18" t="s">
        <v>5</v>
      </c>
      <c r="Y10" s="18" t="s">
        <v>457</v>
      </c>
      <c r="Z10" s="18" t="s">
        <v>457</v>
      </c>
      <c r="AA10" s="13" t="s">
        <v>41</v>
      </c>
      <c r="AB10" s="18" t="s">
        <v>5</v>
      </c>
      <c r="AC10" s="13" t="s">
        <v>41</v>
      </c>
      <c r="AD10" s="13" t="s">
        <v>41</v>
      </c>
      <c r="AE10" s="13" t="s">
        <v>476</v>
      </c>
      <c r="AF10" s="22" t="s">
        <v>41</v>
      </c>
      <c r="AG10" s="17" t="s">
        <v>5</v>
      </c>
      <c r="AH10" s="22" t="s">
        <v>41</v>
      </c>
      <c r="AI10" s="13" t="s">
        <v>41</v>
      </c>
      <c r="AJ10" s="13" t="s">
        <v>41</v>
      </c>
      <c r="AK10" s="13" t="s">
        <v>41</v>
      </c>
      <c r="AL10" s="18" t="s">
        <v>5</v>
      </c>
      <c r="AM10" s="18" t="s">
        <v>5</v>
      </c>
      <c r="AN10" s="18" t="s">
        <v>5</v>
      </c>
      <c r="AO10" s="13" t="s">
        <v>41</v>
      </c>
      <c r="AP10" s="18" t="s">
        <v>5</v>
      </c>
      <c r="AQ10" s="18" t="s">
        <v>5</v>
      </c>
      <c r="AR10" s="18" t="s">
        <v>5</v>
      </c>
      <c r="AS10" s="18" t="s">
        <v>5</v>
      </c>
      <c r="AT10" s="13" t="s">
        <v>41</v>
      </c>
    </row>
    <row r="11" spans="1:46">
      <c r="A11" s="9" t="s">
        <v>338</v>
      </c>
      <c r="B11" s="7" t="s">
        <v>5</v>
      </c>
      <c r="C11" s="23" t="s">
        <v>41</v>
      </c>
      <c r="D11" s="23" t="s">
        <v>41</v>
      </c>
      <c r="E11" s="23" t="s">
        <v>41</v>
      </c>
      <c r="F11" s="23" t="s">
        <v>41</v>
      </c>
      <c r="G11" s="7" t="s">
        <v>5</v>
      </c>
      <c r="H11" s="23" t="s">
        <v>399</v>
      </c>
      <c r="I11" s="7" t="s">
        <v>5</v>
      </c>
      <c r="J11" s="7" t="s">
        <v>5</v>
      </c>
      <c r="K11" s="7" t="s">
        <v>5</v>
      </c>
      <c r="L11" s="23" t="s">
        <v>41</v>
      </c>
      <c r="M11" s="23" t="s">
        <v>41</v>
      </c>
      <c r="N11" s="18" t="s">
        <v>41</v>
      </c>
      <c r="O11" s="18" t="s">
        <v>41</v>
      </c>
      <c r="P11" s="18" t="s">
        <v>41</v>
      </c>
      <c r="Q11" s="18" t="s">
        <v>41</v>
      </c>
      <c r="R11" s="18" t="s">
        <v>434</v>
      </c>
      <c r="S11" s="18" t="s">
        <v>41</v>
      </c>
      <c r="T11" s="18" t="s">
        <v>448</v>
      </c>
      <c r="U11" s="18" t="s">
        <v>41</v>
      </c>
      <c r="V11" s="18" t="s">
        <v>41</v>
      </c>
      <c r="W11" s="18" t="s">
        <v>41</v>
      </c>
      <c r="X11" s="18" t="s">
        <v>41</v>
      </c>
      <c r="Y11" s="18" t="s">
        <v>41</v>
      </c>
      <c r="Z11" s="18" t="s">
        <v>41</v>
      </c>
      <c r="AA11" s="18" t="s">
        <v>41</v>
      </c>
      <c r="AB11" s="18" t="s">
        <v>41</v>
      </c>
      <c r="AC11" s="18" t="s">
        <v>477</v>
      </c>
      <c r="AD11" s="18" t="s">
        <v>41</v>
      </c>
      <c r="AE11" s="18" t="s">
        <v>41</v>
      </c>
      <c r="AF11" s="17" t="s">
        <v>41</v>
      </c>
      <c r="AG11" s="17" t="s">
        <v>41</v>
      </c>
      <c r="AH11" s="17" t="s">
        <v>41</v>
      </c>
      <c r="AI11" s="18" t="s">
        <v>41</v>
      </c>
      <c r="AJ11" s="13" t="s">
        <v>5</v>
      </c>
      <c r="AK11" s="13" t="s">
        <v>5</v>
      </c>
      <c r="AL11" s="18" t="s">
        <v>41</v>
      </c>
      <c r="AM11" s="18" t="s">
        <v>41</v>
      </c>
      <c r="AN11" s="18" t="s">
        <v>503</v>
      </c>
      <c r="AO11" s="18" t="s">
        <v>41</v>
      </c>
      <c r="AP11" s="18" t="s">
        <v>41</v>
      </c>
      <c r="AQ11" s="18" t="s">
        <v>41</v>
      </c>
      <c r="AR11" s="18" t="s">
        <v>41</v>
      </c>
      <c r="AS11" s="18" t="s">
        <v>41</v>
      </c>
      <c r="AT11" s="13" t="s">
        <v>5</v>
      </c>
    </row>
    <row r="12" spans="1:46">
      <c r="A12" s="9" t="s">
        <v>339</v>
      </c>
      <c r="B12" s="7" t="s">
        <v>340</v>
      </c>
      <c r="C12" s="7" t="s">
        <v>3</v>
      </c>
      <c r="D12" s="7" t="s">
        <v>3</v>
      </c>
      <c r="E12" s="7" t="s">
        <v>340</v>
      </c>
      <c r="F12" s="7" t="s">
        <v>340</v>
      </c>
      <c r="G12" s="7" t="s">
        <v>340</v>
      </c>
      <c r="H12" s="7" t="s">
        <v>340</v>
      </c>
      <c r="I12" s="7" t="s">
        <v>340</v>
      </c>
      <c r="J12" s="7" t="s">
        <v>340</v>
      </c>
      <c r="K12" s="7" t="s">
        <v>412</v>
      </c>
      <c r="L12" s="7" t="s">
        <v>105</v>
      </c>
      <c r="M12" s="7" t="s">
        <v>340</v>
      </c>
      <c r="N12" s="13" t="s">
        <v>340</v>
      </c>
      <c r="O12" s="13" t="s">
        <v>420</v>
      </c>
      <c r="P12" s="13" t="s">
        <v>107</v>
      </c>
      <c r="Q12" s="13" t="s">
        <v>340</v>
      </c>
      <c r="R12" s="13" t="s">
        <v>340</v>
      </c>
      <c r="S12" s="13" t="s">
        <v>340</v>
      </c>
      <c r="T12" s="13" t="s">
        <v>340</v>
      </c>
      <c r="U12" s="13" t="s">
        <v>340</v>
      </c>
      <c r="V12" s="13" t="s">
        <v>340</v>
      </c>
      <c r="W12" s="13" t="s">
        <v>340</v>
      </c>
      <c r="X12" s="13" t="s">
        <v>340</v>
      </c>
      <c r="Y12" s="13" t="s">
        <v>340</v>
      </c>
      <c r="Z12" s="13" t="s">
        <v>340</v>
      </c>
      <c r="AA12" s="13" t="s">
        <v>340</v>
      </c>
      <c r="AB12" s="13" t="s">
        <v>340</v>
      </c>
      <c r="AC12" s="13" t="s">
        <v>340</v>
      </c>
      <c r="AD12" s="13" t="s">
        <v>340</v>
      </c>
      <c r="AE12" s="13" t="s">
        <v>340</v>
      </c>
      <c r="AF12" s="22" t="s">
        <v>340</v>
      </c>
      <c r="AG12" s="22" t="s">
        <v>340</v>
      </c>
      <c r="AH12" s="22" t="s">
        <v>340</v>
      </c>
      <c r="AI12" s="13" t="s">
        <v>231</v>
      </c>
      <c r="AJ12" s="13" t="s">
        <v>340</v>
      </c>
      <c r="AK12" s="13" t="s">
        <v>340</v>
      </c>
      <c r="AL12" s="13" t="s">
        <v>340</v>
      </c>
      <c r="AM12" s="13" t="s">
        <v>340</v>
      </c>
      <c r="AN12" s="13" t="s">
        <v>340</v>
      </c>
      <c r="AO12" s="13" t="s">
        <v>340</v>
      </c>
      <c r="AP12" s="13" t="s">
        <v>302</v>
      </c>
      <c r="AQ12" s="13" t="s">
        <v>302</v>
      </c>
      <c r="AR12" s="13" t="s">
        <v>522</v>
      </c>
      <c r="AS12" s="13" t="s">
        <v>522</v>
      </c>
      <c r="AT12" s="13" t="s">
        <v>523</v>
      </c>
    </row>
    <row r="13" spans="1:46">
      <c r="A13" s="9" t="s">
        <v>341</v>
      </c>
      <c r="B13" s="7" t="s">
        <v>342</v>
      </c>
      <c r="C13" s="32">
        <v>3</v>
      </c>
      <c r="D13" s="32">
        <v>60</v>
      </c>
      <c r="E13" s="7" t="s">
        <v>385</v>
      </c>
      <c r="F13" s="7" t="s">
        <v>385</v>
      </c>
      <c r="G13" s="7" t="s">
        <v>385</v>
      </c>
      <c r="H13" s="7" t="s">
        <v>385</v>
      </c>
      <c r="I13" s="7" t="s">
        <v>385</v>
      </c>
      <c r="J13" s="7" t="s">
        <v>400</v>
      </c>
      <c r="K13" s="7" t="s">
        <v>400</v>
      </c>
      <c r="L13" s="7" t="s">
        <v>400</v>
      </c>
      <c r="M13" s="34">
        <v>1</v>
      </c>
      <c r="N13" s="35">
        <v>26.629000000000001</v>
      </c>
      <c r="O13" s="13" t="s">
        <v>421</v>
      </c>
      <c r="P13" s="18" t="s">
        <v>422</v>
      </c>
      <c r="Q13" s="13" t="s">
        <v>421</v>
      </c>
      <c r="R13" s="13" t="s">
        <v>435</v>
      </c>
      <c r="S13" s="13" t="s">
        <v>435</v>
      </c>
      <c r="T13" s="36">
        <v>1</v>
      </c>
      <c r="U13" s="18" t="s">
        <v>449</v>
      </c>
      <c r="V13" s="13" t="s">
        <v>421</v>
      </c>
      <c r="W13" s="13" t="s">
        <v>421</v>
      </c>
      <c r="X13" s="13" t="s">
        <v>421</v>
      </c>
      <c r="Y13" s="13" t="s">
        <v>421</v>
      </c>
      <c r="Z13" s="13" t="s">
        <v>421</v>
      </c>
      <c r="AA13" s="18" t="s">
        <v>465</v>
      </c>
      <c r="AB13" s="35">
        <v>2.5</v>
      </c>
      <c r="AC13" s="35">
        <v>12.395</v>
      </c>
      <c r="AD13" s="35">
        <v>30.986999999999998</v>
      </c>
      <c r="AE13" s="102">
        <f>1165</f>
        <v>1165</v>
      </c>
      <c r="AF13" s="103">
        <f>46587</f>
        <v>46587</v>
      </c>
      <c r="AG13" s="22" t="s">
        <v>385</v>
      </c>
      <c r="AH13" s="22" t="s">
        <v>385</v>
      </c>
      <c r="AI13" s="18" t="s">
        <v>495</v>
      </c>
      <c r="AJ13" s="13" t="s">
        <v>385</v>
      </c>
      <c r="AK13" s="13" t="s">
        <v>385</v>
      </c>
      <c r="AL13" s="13" t="s">
        <v>385</v>
      </c>
      <c r="AM13" s="13" t="s">
        <v>504</v>
      </c>
      <c r="AN13" s="13" t="s">
        <v>504</v>
      </c>
      <c r="AO13" s="13" t="s">
        <v>504</v>
      </c>
      <c r="AP13" s="18" t="s">
        <v>515</v>
      </c>
      <c r="AQ13" s="18" t="s">
        <v>210</v>
      </c>
      <c r="AR13" s="13" t="s">
        <v>385</v>
      </c>
      <c r="AS13" s="13" t="s">
        <v>385</v>
      </c>
      <c r="AT13" s="13" t="s">
        <v>332</v>
      </c>
    </row>
    <row r="14" spans="1:46">
      <c r="A14" s="9" t="s">
        <v>343</v>
      </c>
      <c r="B14" s="7" t="s">
        <v>41</v>
      </c>
      <c r="C14" s="23" t="s">
        <v>5</v>
      </c>
      <c r="D14" s="23" t="s">
        <v>5</v>
      </c>
      <c r="E14" s="7" t="s">
        <v>41</v>
      </c>
      <c r="F14" s="7" t="s">
        <v>41</v>
      </c>
      <c r="G14" s="7" t="s">
        <v>41</v>
      </c>
      <c r="H14" s="7" t="s">
        <v>41</v>
      </c>
      <c r="I14" s="7" t="s">
        <v>41</v>
      </c>
      <c r="J14" s="7" t="s">
        <v>41</v>
      </c>
      <c r="K14" s="7" t="s">
        <v>41</v>
      </c>
      <c r="L14" s="7" t="s">
        <v>41</v>
      </c>
      <c r="M14" s="7" t="s">
        <v>41</v>
      </c>
      <c r="N14" s="13" t="s">
        <v>41</v>
      </c>
      <c r="O14" s="13" t="s">
        <v>41</v>
      </c>
      <c r="P14" s="13" t="s">
        <v>423</v>
      </c>
      <c r="Q14" s="13" t="s">
        <v>41</v>
      </c>
      <c r="R14" s="13" t="s">
        <v>41</v>
      </c>
      <c r="S14" s="13" t="s">
        <v>41</v>
      </c>
      <c r="T14" s="18" t="s">
        <v>5</v>
      </c>
      <c r="U14" s="18" t="s">
        <v>5</v>
      </c>
      <c r="V14" s="13" t="s">
        <v>41</v>
      </c>
      <c r="W14" s="13" t="s">
        <v>41</v>
      </c>
      <c r="X14" s="13" t="s">
        <v>41</v>
      </c>
      <c r="Y14" s="13" t="s">
        <v>41</v>
      </c>
      <c r="Z14" s="13" t="s">
        <v>41</v>
      </c>
      <c r="AA14" s="13" t="s">
        <v>466</v>
      </c>
      <c r="AB14" s="18" t="s">
        <v>5</v>
      </c>
      <c r="AC14" s="13" t="s">
        <v>41</v>
      </c>
      <c r="AD14" s="13" t="s">
        <v>41</v>
      </c>
      <c r="AE14" s="13" t="s">
        <v>41</v>
      </c>
      <c r="AF14" s="22" t="s">
        <v>41</v>
      </c>
      <c r="AG14" s="22" t="s">
        <v>488</v>
      </c>
      <c r="AH14" s="22" t="s">
        <v>488</v>
      </c>
      <c r="AI14" s="13" t="s">
        <v>41</v>
      </c>
      <c r="AJ14" s="13" t="s">
        <v>41</v>
      </c>
      <c r="AK14" s="13" t="s">
        <v>41</v>
      </c>
      <c r="AL14" s="13" t="s">
        <v>505</v>
      </c>
      <c r="AM14" s="13" t="s">
        <v>41</v>
      </c>
      <c r="AN14" s="13" t="s">
        <v>41</v>
      </c>
      <c r="AO14" s="13" t="s">
        <v>41</v>
      </c>
      <c r="AP14" s="18" t="s">
        <v>5</v>
      </c>
      <c r="AQ14" s="18" t="s">
        <v>5</v>
      </c>
      <c r="AR14" s="13" t="s">
        <v>41</v>
      </c>
      <c r="AS14" s="13" t="s">
        <v>41</v>
      </c>
      <c r="AT14" s="13" t="s">
        <v>41</v>
      </c>
    </row>
    <row r="15" spans="1:46">
      <c r="A15" s="9" t="s">
        <v>344</v>
      </c>
      <c r="B15" s="33" t="s">
        <v>41</v>
      </c>
      <c r="C15" s="33" t="s">
        <v>5</v>
      </c>
      <c r="D15" s="33" t="s">
        <v>5</v>
      </c>
      <c r="E15" s="33" t="s">
        <v>41</v>
      </c>
      <c r="F15" s="33" t="s">
        <v>386</v>
      </c>
      <c r="G15" s="33" t="s">
        <v>41</v>
      </c>
      <c r="H15" s="33" t="s">
        <v>5</v>
      </c>
      <c r="I15" s="33" t="s">
        <v>41</v>
      </c>
      <c r="J15" s="33" t="s">
        <v>41</v>
      </c>
      <c r="K15" s="33" t="s">
        <v>41</v>
      </c>
      <c r="L15" s="33" t="s">
        <v>41</v>
      </c>
      <c r="M15" s="33" t="s">
        <v>5</v>
      </c>
      <c r="N15" s="37" t="s">
        <v>5</v>
      </c>
      <c r="O15" s="37" t="s">
        <v>41</v>
      </c>
      <c r="P15" s="37" t="s">
        <v>41</v>
      </c>
      <c r="Q15" s="37" t="s">
        <v>41</v>
      </c>
      <c r="R15" s="37" t="s">
        <v>436</v>
      </c>
      <c r="S15" s="37" t="s">
        <v>436</v>
      </c>
      <c r="T15" s="37" t="s">
        <v>5</v>
      </c>
      <c r="U15" s="37" t="s">
        <v>5</v>
      </c>
      <c r="V15" s="37" t="s">
        <v>5</v>
      </c>
      <c r="W15" s="37" t="s">
        <v>41</v>
      </c>
      <c r="X15" s="37" t="s">
        <v>5</v>
      </c>
      <c r="Y15" s="37" t="s">
        <v>41</v>
      </c>
      <c r="Z15" s="37" t="s">
        <v>41</v>
      </c>
      <c r="AA15" s="37" t="s">
        <v>41</v>
      </c>
      <c r="AB15" s="37" t="s">
        <v>5</v>
      </c>
      <c r="AC15" s="37" t="s">
        <v>41</v>
      </c>
      <c r="AD15" s="37" t="s">
        <v>41</v>
      </c>
      <c r="AE15" s="37" t="s">
        <v>5</v>
      </c>
      <c r="AF15" s="38" t="s">
        <v>5</v>
      </c>
      <c r="AG15" s="38" t="s">
        <v>41</v>
      </c>
      <c r="AH15" s="38" t="s">
        <v>41</v>
      </c>
      <c r="AI15" s="37" t="s">
        <v>5</v>
      </c>
      <c r="AJ15" s="37" t="s">
        <v>41</v>
      </c>
      <c r="AK15" s="37" t="s">
        <v>41</v>
      </c>
      <c r="AL15" s="37" t="s">
        <v>5</v>
      </c>
      <c r="AM15" s="37" t="s">
        <v>5</v>
      </c>
      <c r="AN15" s="37" t="s">
        <v>5</v>
      </c>
      <c r="AO15" s="37" t="s">
        <v>5</v>
      </c>
      <c r="AP15" s="37" t="s">
        <v>5</v>
      </c>
      <c r="AQ15" s="37" t="s">
        <v>5</v>
      </c>
      <c r="AR15" s="37" t="s">
        <v>41</v>
      </c>
      <c r="AS15" s="37" t="s">
        <v>41</v>
      </c>
      <c r="AT15" s="37" t="s">
        <v>5</v>
      </c>
    </row>
    <row r="16" spans="1:46">
      <c r="A16" s="9" t="s">
        <v>345</v>
      </c>
      <c r="B16" s="33" t="s">
        <v>5</v>
      </c>
      <c r="C16" s="33" t="s">
        <v>5</v>
      </c>
      <c r="D16" s="33" t="s">
        <v>5</v>
      </c>
      <c r="E16" s="33" t="s">
        <v>5</v>
      </c>
      <c r="F16" s="33" t="s">
        <v>386</v>
      </c>
      <c r="G16" s="33" t="s">
        <v>41</v>
      </c>
      <c r="H16" s="33" t="s">
        <v>5</v>
      </c>
      <c r="I16" s="33" t="s">
        <v>41</v>
      </c>
      <c r="J16" s="33" t="s">
        <v>41</v>
      </c>
      <c r="K16" s="33" t="s">
        <v>41</v>
      </c>
      <c r="L16" s="33" t="s">
        <v>5</v>
      </c>
      <c r="M16" s="33" t="s">
        <v>5</v>
      </c>
      <c r="N16" s="37" t="s">
        <v>5</v>
      </c>
      <c r="O16" s="37" t="s">
        <v>5</v>
      </c>
      <c r="P16" s="37" t="s">
        <v>41</v>
      </c>
      <c r="Q16" s="37" t="s">
        <v>5</v>
      </c>
      <c r="R16" s="37" t="s">
        <v>5</v>
      </c>
      <c r="S16" s="37" t="s">
        <v>5</v>
      </c>
      <c r="T16" s="37" t="s">
        <v>5</v>
      </c>
      <c r="U16" s="37" t="s">
        <v>41</v>
      </c>
      <c r="V16" s="37" t="s">
        <v>5</v>
      </c>
      <c r="W16" s="37" t="s">
        <v>5</v>
      </c>
      <c r="X16" s="37" t="s">
        <v>5</v>
      </c>
      <c r="Y16" s="37" t="s">
        <v>5</v>
      </c>
      <c r="Z16" s="37" t="s">
        <v>5</v>
      </c>
      <c r="AA16" s="37" t="s">
        <v>41</v>
      </c>
      <c r="AB16" s="37" t="s">
        <v>5</v>
      </c>
      <c r="AC16" s="37" t="s">
        <v>5</v>
      </c>
      <c r="AD16" s="37" t="s">
        <v>41</v>
      </c>
      <c r="AE16" s="37" t="s">
        <v>5</v>
      </c>
      <c r="AF16" s="38" t="s">
        <v>5</v>
      </c>
      <c r="AG16" s="38" t="s">
        <v>5</v>
      </c>
      <c r="AH16" s="38" t="s">
        <v>5</v>
      </c>
      <c r="AI16" s="37" t="s">
        <v>5</v>
      </c>
      <c r="AJ16" s="37" t="s">
        <v>41</v>
      </c>
      <c r="AK16" s="37" t="s">
        <v>5</v>
      </c>
      <c r="AL16" s="37" t="s">
        <v>5</v>
      </c>
      <c r="AM16" s="37" t="s">
        <v>5</v>
      </c>
      <c r="AN16" s="37" t="s">
        <v>5</v>
      </c>
      <c r="AO16" s="37" t="s">
        <v>5</v>
      </c>
      <c r="AP16" s="37" t="s">
        <v>5</v>
      </c>
      <c r="AQ16" s="37" t="s">
        <v>41</v>
      </c>
      <c r="AR16" s="37" t="s">
        <v>5</v>
      </c>
      <c r="AS16" s="37" t="s">
        <v>5</v>
      </c>
      <c r="AT16" s="37" t="s">
        <v>5</v>
      </c>
    </row>
    <row r="17" spans="1:46">
      <c r="A17" s="9" t="s">
        <v>593</v>
      </c>
      <c r="B17" s="33" t="s">
        <v>346</v>
      </c>
      <c r="C17" s="33" t="s">
        <v>5</v>
      </c>
      <c r="D17" s="33" t="s">
        <v>5</v>
      </c>
      <c r="E17" s="33" t="s">
        <v>5</v>
      </c>
      <c r="F17" s="33" t="s">
        <v>5</v>
      </c>
      <c r="G17" s="33" t="s">
        <v>5</v>
      </c>
      <c r="H17" s="33" t="s">
        <v>5</v>
      </c>
      <c r="I17" s="33" t="s">
        <v>5</v>
      </c>
      <c r="J17" s="33" t="s">
        <v>401</v>
      </c>
      <c r="K17" s="33" t="s">
        <v>401</v>
      </c>
      <c r="L17" s="33" t="s">
        <v>401</v>
      </c>
      <c r="M17" s="33" t="s">
        <v>413</v>
      </c>
      <c r="N17" s="37" t="s">
        <v>413</v>
      </c>
      <c r="O17" s="37" t="s">
        <v>424</v>
      </c>
      <c r="P17" s="37" t="s">
        <v>41</v>
      </c>
      <c r="Q17" s="37" t="s">
        <v>5</v>
      </c>
      <c r="R17" s="37" t="s">
        <v>5</v>
      </c>
      <c r="S17" s="37" t="s">
        <v>5</v>
      </c>
      <c r="T17" s="37" t="s">
        <v>5</v>
      </c>
      <c r="U17" s="37" t="s">
        <v>5</v>
      </c>
      <c r="V17" s="37" t="s">
        <v>450</v>
      </c>
      <c r="W17" s="37" t="s">
        <v>450</v>
      </c>
      <c r="X17" s="37" t="s">
        <v>450</v>
      </c>
      <c r="Y17" s="37" t="s">
        <v>5</v>
      </c>
      <c r="Z17" s="37" t="s">
        <v>5</v>
      </c>
      <c r="AA17" s="37" t="s">
        <v>467</v>
      </c>
      <c r="AB17" s="37" t="s">
        <v>5</v>
      </c>
      <c r="AC17" s="37" t="s">
        <v>5</v>
      </c>
      <c r="AD17" s="37" t="s">
        <v>5</v>
      </c>
      <c r="AE17" s="37" t="s">
        <v>5</v>
      </c>
      <c r="AF17" s="38" t="s">
        <v>5</v>
      </c>
      <c r="AG17" s="38" t="s">
        <v>5</v>
      </c>
      <c r="AH17" s="38" t="s">
        <v>5</v>
      </c>
      <c r="AI17" s="37" t="s">
        <v>5</v>
      </c>
      <c r="AJ17" s="37" t="s">
        <v>5</v>
      </c>
      <c r="AK17" s="37" t="s">
        <v>5</v>
      </c>
      <c r="AL17" s="37" t="s">
        <v>41</v>
      </c>
      <c r="AM17" s="37" t="s">
        <v>41</v>
      </c>
      <c r="AN17" s="37" t="s">
        <v>41</v>
      </c>
      <c r="AO17" s="37" t="s">
        <v>41</v>
      </c>
      <c r="AP17" s="37" t="s">
        <v>41</v>
      </c>
      <c r="AQ17" s="37" t="s">
        <v>41</v>
      </c>
      <c r="AR17" s="37" t="s">
        <v>5</v>
      </c>
      <c r="AS17" s="37" t="s">
        <v>5</v>
      </c>
      <c r="AT17" s="37" t="s">
        <v>5</v>
      </c>
    </row>
    <row r="18" spans="1:46">
      <c r="A18" s="9" t="s">
        <v>347</v>
      </c>
      <c r="B18" s="7" t="s">
        <v>41</v>
      </c>
      <c r="C18" s="7" t="s">
        <v>41</v>
      </c>
      <c r="D18" s="7" t="s">
        <v>41</v>
      </c>
      <c r="E18" s="7" t="s">
        <v>41</v>
      </c>
      <c r="F18" s="7" t="s">
        <v>41</v>
      </c>
      <c r="G18" s="7" t="s">
        <v>41</v>
      </c>
      <c r="H18" s="7" t="s">
        <v>41</v>
      </c>
      <c r="I18" s="7" t="s">
        <v>41</v>
      </c>
      <c r="J18" s="7" t="s">
        <v>41</v>
      </c>
      <c r="K18" s="7" t="s">
        <v>41</v>
      </c>
      <c r="L18" s="7" t="s">
        <v>41</v>
      </c>
      <c r="M18" s="7" t="s">
        <v>41</v>
      </c>
      <c r="N18" s="13" t="s">
        <v>41</v>
      </c>
      <c r="O18" s="13" t="s">
        <v>41</v>
      </c>
      <c r="P18" s="13" t="s">
        <v>41</v>
      </c>
      <c r="Q18" s="13" t="s">
        <v>41</v>
      </c>
      <c r="R18" s="13" t="s">
        <v>41</v>
      </c>
      <c r="S18" s="13" t="s">
        <v>41</v>
      </c>
      <c r="T18" s="13" t="s">
        <v>41</v>
      </c>
      <c r="U18" s="13" t="s">
        <v>41</v>
      </c>
      <c r="V18" s="13" t="s">
        <v>41</v>
      </c>
      <c r="W18" s="13" t="s">
        <v>41</v>
      </c>
      <c r="X18" s="13" t="s">
        <v>41</v>
      </c>
      <c r="Y18" s="13" t="s">
        <v>41</v>
      </c>
      <c r="Z18" s="13" t="s">
        <v>41</v>
      </c>
      <c r="AA18" s="13" t="s">
        <v>41</v>
      </c>
      <c r="AB18" s="13" t="s">
        <v>41</v>
      </c>
      <c r="AC18" s="13" t="s">
        <v>41</v>
      </c>
      <c r="AD18" s="13" t="s">
        <v>41</v>
      </c>
      <c r="AE18" s="13" t="s">
        <v>41</v>
      </c>
      <c r="AF18" s="22" t="s">
        <v>41</v>
      </c>
      <c r="AG18" s="22" t="s">
        <v>41</v>
      </c>
      <c r="AH18" s="22" t="s">
        <v>41</v>
      </c>
      <c r="AI18" s="13" t="s">
        <v>41</v>
      </c>
      <c r="AJ18" s="13" t="s">
        <v>41</v>
      </c>
      <c r="AK18" s="13" t="s">
        <v>41</v>
      </c>
      <c r="AL18" s="13" t="s">
        <v>41</v>
      </c>
      <c r="AM18" s="13" t="s">
        <v>41</v>
      </c>
      <c r="AN18" s="13" t="s">
        <v>41</v>
      </c>
      <c r="AO18" s="13" t="s">
        <v>41</v>
      </c>
      <c r="AP18" s="13" t="s">
        <v>41</v>
      </c>
      <c r="AQ18" s="13" t="s">
        <v>41</v>
      </c>
      <c r="AR18" s="13" t="s">
        <v>41</v>
      </c>
      <c r="AS18" s="13" t="s">
        <v>41</v>
      </c>
      <c r="AT18" s="13" t="s">
        <v>524</v>
      </c>
    </row>
    <row r="19" spans="1:46">
      <c r="A19" s="9" t="s">
        <v>348</v>
      </c>
      <c r="B19" s="23" t="s">
        <v>41</v>
      </c>
      <c r="C19" s="7" t="s">
        <v>5</v>
      </c>
      <c r="D19" s="7" t="s">
        <v>5</v>
      </c>
      <c r="E19" s="23" t="s">
        <v>41</v>
      </c>
      <c r="F19" s="23" t="s">
        <v>41</v>
      </c>
      <c r="G19" s="23" t="s">
        <v>41</v>
      </c>
      <c r="H19" s="23" t="s">
        <v>41</v>
      </c>
      <c r="I19" s="23" t="s">
        <v>41</v>
      </c>
      <c r="J19" s="23" t="s">
        <v>41</v>
      </c>
      <c r="K19" s="23" t="s">
        <v>41</v>
      </c>
      <c r="L19" s="23" t="s">
        <v>41</v>
      </c>
      <c r="M19" s="23" t="s">
        <v>41</v>
      </c>
      <c r="N19" s="18" t="s">
        <v>41</v>
      </c>
      <c r="O19" s="18" t="s">
        <v>41</v>
      </c>
      <c r="P19" s="13" t="s">
        <v>5</v>
      </c>
      <c r="Q19" s="18" t="s">
        <v>41</v>
      </c>
      <c r="R19" s="18" t="s">
        <v>41</v>
      </c>
      <c r="S19" s="18" t="s">
        <v>41</v>
      </c>
      <c r="T19" s="18" t="s">
        <v>41</v>
      </c>
      <c r="U19" s="18" t="s">
        <v>41</v>
      </c>
      <c r="V19" s="18" t="s">
        <v>41</v>
      </c>
      <c r="W19" s="18" t="s">
        <v>41</v>
      </c>
      <c r="X19" s="18" t="s">
        <v>41</v>
      </c>
      <c r="Y19" s="18" t="s">
        <v>41</v>
      </c>
      <c r="Z19" s="18" t="s">
        <v>41</v>
      </c>
      <c r="AA19" s="18" t="s">
        <v>41</v>
      </c>
      <c r="AB19" s="13" t="s">
        <v>5</v>
      </c>
      <c r="AC19" s="13" t="s">
        <v>5</v>
      </c>
      <c r="AD19" s="13" t="s">
        <v>5</v>
      </c>
      <c r="AE19" s="18" t="s">
        <v>41</v>
      </c>
      <c r="AF19" s="17" t="s">
        <v>41</v>
      </c>
      <c r="AG19" s="17" t="s">
        <v>41</v>
      </c>
      <c r="AH19" s="17" t="s">
        <v>41</v>
      </c>
      <c r="AI19" s="13" t="s">
        <v>5</v>
      </c>
      <c r="AJ19" s="18" t="s">
        <v>41</v>
      </c>
      <c r="AK19" s="18" t="s">
        <v>41</v>
      </c>
      <c r="AL19" s="18" t="s">
        <v>41</v>
      </c>
      <c r="AM19" s="18" t="s">
        <v>41</v>
      </c>
      <c r="AN19" s="18" t="s">
        <v>41</v>
      </c>
      <c r="AO19" s="18" t="s">
        <v>41</v>
      </c>
      <c r="AP19" s="13" t="s">
        <v>5</v>
      </c>
      <c r="AQ19" s="13" t="s">
        <v>5</v>
      </c>
      <c r="AR19" s="18" t="s">
        <v>41</v>
      </c>
      <c r="AS19" s="18" t="s">
        <v>41</v>
      </c>
      <c r="AT19" s="18" t="s">
        <v>41</v>
      </c>
    </row>
    <row r="20" spans="1:46">
      <c r="A20" s="9" t="s">
        <v>349</v>
      </c>
      <c r="B20" s="7" t="s">
        <v>332</v>
      </c>
      <c r="C20" s="7" t="s">
        <v>332</v>
      </c>
      <c r="D20" s="7" t="s">
        <v>332</v>
      </c>
      <c r="E20" s="7" t="s">
        <v>332</v>
      </c>
      <c r="F20" s="7" t="s">
        <v>332</v>
      </c>
      <c r="G20" s="7" t="s">
        <v>332</v>
      </c>
      <c r="H20" s="7" t="s">
        <v>332</v>
      </c>
      <c r="I20" s="7" t="s">
        <v>332</v>
      </c>
      <c r="J20" s="7" t="s">
        <v>332</v>
      </c>
      <c r="K20" s="7" t="s">
        <v>332</v>
      </c>
      <c r="L20" s="7" t="s">
        <v>332</v>
      </c>
      <c r="M20" s="7" t="s">
        <v>332</v>
      </c>
      <c r="N20" s="13" t="s">
        <v>332</v>
      </c>
      <c r="O20" s="13" t="s">
        <v>332</v>
      </c>
      <c r="P20" s="13" t="s">
        <v>332</v>
      </c>
      <c r="Q20" s="13" t="s">
        <v>332</v>
      </c>
      <c r="R20" s="13" t="s">
        <v>332</v>
      </c>
      <c r="S20" s="13" t="s">
        <v>332</v>
      </c>
      <c r="T20" s="13" t="s">
        <v>332</v>
      </c>
      <c r="U20" s="13" t="s">
        <v>332</v>
      </c>
      <c r="V20" s="13" t="s">
        <v>332</v>
      </c>
      <c r="W20" s="13" t="s">
        <v>332</v>
      </c>
      <c r="X20" s="13" t="s">
        <v>332</v>
      </c>
      <c r="Y20" s="13" t="s">
        <v>332</v>
      </c>
      <c r="Z20" s="13" t="s">
        <v>332</v>
      </c>
      <c r="AA20" s="13" t="s">
        <v>332</v>
      </c>
      <c r="AB20" s="13" t="s">
        <v>332</v>
      </c>
      <c r="AC20" s="13" t="s">
        <v>332</v>
      </c>
      <c r="AD20" s="13" t="s">
        <v>332</v>
      </c>
      <c r="AE20" s="18" t="s">
        <v>478</v>
      </c>
      <c r="AF20" s="17" t="s">
        <v>478</v>
      </c>
      <c r="AG20" s="22" t="s">
        <v>332</v>
      </c>
      <c r="AH20" s="22" t="s">
        <v>332</v>
      </c>
      <c r="AI20" s="13" t="s">
        <v>332</v>
      </c>
      <c r="AJ20" s="13" t="s">
        <v>332</v>
      </c>
      <c r="AK20" s="13" t="s">
        <v>332</v>
      </c>
      <c r="AL20" s="13" t="s">
        <v>332</v>
      </c>
      <c r="AM20" s="13" t="s">
        <v>332</v>
      </c>
      <c r="AN20" s="13" t="s">
        <v>332</v>
      </c>
      <c r="AO20" s="13" t="s">
        <v>332</v>
      </c>
      <c r="AP20" s="13" t="s">
        <v>332</v>
      </c>
      <c r="AQ20" s="13" t="s">
        <v>332</v>
      </c>
      <c r="AR20" s="13" t="s">
        <v>332</v>
      </c>
      <c r="AS20" s="13" t="s">
        <v>332</v>
      </c>
      <c r="AT20" s="13" t="s">
        <v>332</v>
      </c>
    </row>
    <row r="21" spans="1:46">
      <c r="A21" s="9" t="s">
        <v>350</v>
      </c>
      <c r="B21" s="7" t="s">
        <v>351</v>
      </c>
      <c r="C21" s="7" t="s">
        <v>352</v>
      </c>
      <c r="D21" s="7" t="s">
        <v>352</v>
      </c>
      <c r="E21" s="7" t="s">
        <v>387</v>
      </c>
      <c r="F21" s="7" t="s">
        <v>387</v>
      </c>
      <c r="G21" s="7" t="s">
        <v>388</v>
      </c>
      <c r="H21" s="7" t="s">
        <v>402</v>
      </c>
      <c r="I21" s="7" t="s">
        <v>403</v>
      </c>
      <c r="J21" s="7" t="s">
        <v>404</v>
      </c>
      <c r="K21" s="7" t="s">
        <v>404</v>
      </c>
      <c r="L21" s="7" t="s">
        <v>404</v>
      </c>
      <c r="M21" s="7" t="s">
        <v>414</v>
      </c>
      <c r="N21" s="13" t="s">
        <v>414</v>
      </c>
      <c r="O21" s="13" t="s">
        <v>387</v>
      </c>
      <c r="P21" s="13" t="s">
        <v>425</v>
      </c>
      <c r="Q21" s="13" t="s">
        <v>437</v>
      </c>
      <c r="R21" s="13" t="s">
        <v>438</v>
      </c>
      <c r="S21" s="13" t="s">
        <v>438</v>
      </c>
      <c r="T21" s="13" t="s">
        <v>387</v>
      </c>
      <c r="U21" s="13" t="s">
        <v>387</v>
      </c>
      <c r="V21" s="13" t="s">
        <v>451</v>
      </c>
      <c r="W21" s="13" t="s">
        <v>451</v>
      </c>
      <c r="X21" s="13" t="s">
        <v>451</v>
      </c>
      <c r="Y21" s="13" t="s">
        <v>458</v>
      </c>
      <c r="Z21" s="13" t="s">
        <v>458</v>
      </c>
      <c r="AA21" s="13" t="s">
        <v>468</v>
      </c>
      <c r="AB21" s="13" t="s">
        <v>469</v>
      </c>
      <c r="AC21" s="13" t="s">
        <v>469</v>
      </c>
      <c r="AD21" s="13" t="s">
        <v>479</v>
      </c>
      <c r="AE21" s="13" t="s">
        <v>480</v>
      </c>
      <c r="AF21" s="22" t="s">
        <v>480</v>
      </c>
      <c r="AG21" s="22" t="s">
        <v>489</v>
      </c>
      <c r="AH21" s="22" t="s">
        <v>351</v>
      </c>
      <c r="AI21" s="13" t="s">
        <v>496</v>
      </c>
      <c r="AJ21" s="13" t="s">
        <v>351</v>
      </c>
      <c r="AK21" s="13" t="s">
        <v>403</v>
      </c>
      <c r="AL21" s="13" t="s">
        <v>506</v>
      </c>
      <c r="AM21" s="13" t="s">
        <v>403</v>
      </c>
      <c r="AN21" s="13" t="s">
        <v>403</v>
      </c>
      <c r="AO21" s="13" t="s">
        <v>403</v>
      </c>
      <c r="AP21" s="13" t="s">
        <v>516</v>
      </c>
      <c r="AQ21" s="13" t="s">
        <v>516</v>
      </c>
      <c r="AR21" s="13" t="s">
        <v>525</v>
      </c>
      <c r="AS21" s="13" t="s">
        <v>525</v>
      </c>
      <c r="AT21" s="13" t="s">
        <v>388</v>
      </c>
    </row>
    <row r="22" spans="1:46">
      <c r="A22" s="9" t="s">
        <v>353</v>
      </c>
      <c r="B22" s="7" t="s">
        <v>41</v>
      </c>
      <c r="C22" s="7" t="s">
        <v>41</v>
      </c>
      <c r="D22" s="7" t="s">
        <v>41</v>
      </c>
      <c r="E22" s="23" t="s">
        <v>5</v>
      </c>
      <c r="F22" s="23" t="s">
        <v>5</v>
      </c>
      <c r="G22" s="7" t="s">
        <v>41</v>
      </c>
      <c r="H22" s="23" t="s">
        <v>5</v>
      </c>
      <c r="I22" s="7" t="s">
        <v>41</v>
      </c>
      <c r="J22" s="7" t="s">
        <v>41</v>
      </c>
      <c r="K22" s="7" t="s">
        <v>41</v>
      </c>
      <c r="L22" s="23" t="s">
        <v>5</v>
      </c>
      <c r="M22" s="7" t="s">
        <v>41</v>
      </c>
      <c r="N22" s="18" t="s">
        <v>5</v>
      </c>
      <c r="O22" s="13" t="s">
        <v>41</v>
      </c>
      <c r="P22" s="18" t="s">
        <v>5</v>
      </c>
      <c r="Q22" s="18" t="s">
        <v>439</v>
      </c>
      <c r="R22" s="13" t="s">
        <v>41</v>
      </c>
      <c r="S22" s="13" t="s">
        <v>41</v>
      </c>
      <c r="T22" s="13" t="s">
        <v>41</v>
      </c>
      <c r="U22" s="13" t="s">
        <v>452</v>
      </c>
      <c r="V22" s="13" t="s">
        <v>41</v>
      </c>
      <c r="W22" s="13" t="s">
        <v>41</v>
      </c>
      <c r="X22" s="13" t="s">
        <v>41</v>
      </c>
      <c r="Y22" s="18" t="s">
        <v>459</v>
      </c>
      <c r="Z22" s="18" t="s">
        <v>459</v>
      </c>
      <c r="AA22" s="13" t="s">
        <v>470</v>
      </c>
      <c r="AB22" s="18" t="s">
        <v>5</v>
      </c>
      <c r="AC22" s="13" t="s">
        <v>41</v>
      </c>
      <c r="AD22" s="13" t="s">
        <v>41</v>
      </c>
      <c r="AE22" s="13" t="s">
        <v>41</v>
      </c>
      <c r="AF22" s="22" t="s">
        <v>490</v>
      </c>
      <c r="AG22" s="17" t="s">
        <v>5</v>
      </c>
      <c r="AH22" s="17" t="s">
        <v>5</v>
      </c>
      <c r="AI22" s="18" t="s">
        <v>497</v>
      </c>
      <c r="AJ22" s="13" t="s">
        <v>41</v>
      </c>
      <c r="AK22" s="13" t="s">
        <v>41</v>
      </c>
      <c r="AL22" s="18" t="s">
        <v>5</v>
      </c>
      <c r="AM22" s="18" t="s">
        <v>41</v>
      </c>
      <c r="AN22" s="18" t="s">
        <v>41</v>
      </c>
      <c r="AO22" s="18" t="s">
        <v>41</v>
      </c>
      <c r="AP22" s="18" t="s">
        <v>517</v>
      </c>
      <c r="AQ22" s="18" t="s">
        <v>517</v>
      </c>
      <c r="AR22" s="13" t="s">
        <v>5</v>
      </c>
      <c r="AS22" s="13" t="s">
        <v>5</v>
      </c>
      <c r="AT22" s="13" t="s">
        <v>5</v>
      </c>
    </row>
    <row r="23" spans="1:46">
      <c r="A23" s="9" t="s">
        <v>354</v>
      </c>
      <c r="B23" s="23" t="s">
        <v>41</v>
      </c>
      <c r="C23" s="7" t="s">
        <v>5</v>
      </c>
      <c r="D23" s="7" t="s">
        <v>5</v>
      </c>
      <c r="E23" s="23" t="s">
        <v>41</v>
      </c>
      <c r="F23" s="23" t="s">
        <v>41</v>
      </c>
      <c r="G23" s="7" t="s">
        <v>5</v>
      </c>
      <c r="H23" s="23" t="s">
        <v>41</v>
      </c>
      <c r="I23" s="7" t="s">
        <v>5</v>
      </c>
      <c r="J23" s="7" t="s">
        <v>5</v>
      </c>
      <c r="K23" s="7" t="s">
        <v>5</v>
      </c>
      <c r="L23" s="7" t="s">
        <v>5</v>
      </c>
      <c r="M23" s="23" t="s">
        <v>41</v>
      </c>
      <c r="N23" s="18" t="s">
        <v>41</v>
      </c>
      <c r="O23" s="18" t="s">
        <v>41</v>
      </c>
      <c r="P23" s="13" t="s">
        <v>5</v>
      </c>
      <c r="Q23" s="18" t="s">
        <v>41</v>
      </c>
      <c r="R23" s="18" t="s">
        <v>41</v>
      </c>
      <c r="S23" s="18" t="s">
        <v>41</v>
      </c>
      <c r="T23" s="18" t="s">
        <v>41</v>
      </c>
      <c r="U23" s="18" t="s">
        <v>41</v>
      </c>
      <c r="V23" s="18" t="s">
        <v>41</v>
      </c>
      <c r="W23" s="18" t="s">
        <v>41</v>
      </c>
      <c r="X23" s="18" t="s">
        <v>41</v>
      </c>
      <c r="Y23" s="13" t="s">
        <v>5</v>
      </c>
      <c r="Z23" s="18" t="s">
        <v>41</v>
      </c>
      <c r="AA23" s="18" t="s">
        <v>41</v>
      </c>
      <c r="AB23" s="18" t="s">
        <v>41</v>
      </c>
      <c r="AC23" s="18" t="s">
        <v>41</v>
      </c>
      <c r="AD23" s="18" t="s">
        <v>41</v>
      </c>
      <c r="AE23" s="18" t="s">
        <v>41</v>
      </c>
      <c r="AF23" s="17" t="s">
        <v>41</v>
      </c>
      <c r="AG23" s="22" t="s">
        <v>5</v>
      </c>
      <c r="AH23" s="22" t="s">
        <v>5</v>
      </c>
      <c r="AI23" s="18" t="s">
        <v>41</v>
      </c>
      <c r="AJ23" s="18" t="s">
        <v>41</v>
      </c>
      <c r="AK23" s="13" t="s">
        <v>5</v>
      </c>
      <c r="AL23" s="13" t="s">
        <v>507</v>
      </c>
      <c r="AM23" s="18" t="s">
        <v>41</v>
      </c>
      <c r="AN23" s="18" t="s">
        <v>41</v>
      </c>
      <c r="AO23" s="18" t="s">
        <v>41</v>
      </c>
      <c r="AP23" s="18" t="s">
        <v>41</v>
      </c>
      <c r="AQ23" s="18" t="s">
        <v>41</v>
      </c>
      <c r="AR23" s="18" t="s">
        <v>41</v>
      </c>
      <c r="AS23" s="18" t="s">
        <v>41</v>
      </c>
      <c r="AT23" s="13" t="s">
        <v>5</v>
      </c>
    </row>
    <row r="24" spans="1:46">
      <c r="A24" s="9" t="s">
        <v>355</v>
      </c>
      <c r="B24" s="7" t="s">
        <v>5</v>
      </c>
      <c r="C24" s="7" t="s">
        <v>5</v>
      </c>
      <c r="D24" s="7" t="s">
        <v>5</v>
      </c>
      <c r="E24" s="7" t="s">
        <v>5</v>
      </c>
      <c r="F24" s="7" t="s">
        <v>5</v>
      </c>
      <c r="G24" s="7" t="s">
        <v>5</v>
      </c>
      <c r="H24" s="23" t="s">
        <v>41</v>
      </c>
      <c r="I24" s="7" t="s">
        <v>5</v>
      </c>
      <c r="J24" s="7" t="s">
        <v>5</v>
      </c>
      <c r="K24" s="7" t="s">
        <v>5</v>
      </c>
      <c r="L24" s="23" t="s">
        <v>41</v>
      </c>
      <c r="M24" s="23" t="s">
        <v>41</v>
      </c>
      <c r="N24" s="18" t="s">
        <v>41</v>
      </c>
      <c r="O24" s="18" t="s">
        <v>41</v>
      </c>
      <c r="P24" s="13" t="s">
        <v>5</v>
      </c>
      <c r="Q24" s="13" t="s">
        <v>5</v>
      </c>
      <c r="R24" s="18" t="s">
        <v>41</v>
      </c>
      <c r="S24" s="18" t="s">
        <v>41</v>
      </c>
      <c r="T24" s="18" t="s">
        <v>41</v>
      </c>
      <c r="U24" s="18" t="s">
        <v>41</v>
      </c>
      <c r="V24" s="18" t="s">
        <v>41</v>
      </c>
      <c r="W24" s="13" t="s">
        <v>5</v>
      </c>
      <c r="X24" s="18" t="s">
        <v>41</v>
      </c>
      <c r="Y24" s="18" t="s">
        <v>41</v>
      </c>
      <c r="Z24" s="18" t="s">
        <v>41</v>
      </c>
      <c r="AA24" s="13" t="s">
        <v>5</v>
      </c>
      <c r="AB24" s="18" t="s">
        <v>41</v>
      </c>
      <c r="AC24" s="13" t="s">
        <v>5</v>
      </c>
      <c r="AD24" s="13" t="s">
        <v>5</v>
      </c>
      <c r="AE24" s="18" t="s">
        <v>41</v>
      </c>
      <c r="AF24" s="17" t="s">
        <v>41</v>
      </c>
      <c r="AG24" s="22" t="s">
        <v>5</v>
      </c>
      <c r="AH24" s="22" t="s">
        <v>5</v>
      </c>
      <c r="AI24" s="18" t="s">
        <v>498</v>
      </c>
      <c r="AJ24" s="13" t="s">
        <v>5</v>
      </c>
      <c r="AK24" s="13" t="s">
        <v>5</v>
      </c>
      <c r="AL24" s="13" t="s">
        <v>507</v>
      </c>
      <c r="AM24" s="18" t="s">
        <v>41</v>
      </c>
      <c r="AN24" s="18" t="s">
        <v>41</v>
      </c>
      <c r="AO24" s="18" t="s">
        <v>41</v>
      </c>
      <c r="AP24" s="18" t="s">
        <v>41</v>
      </c>
      <c r="AQ24" s="13" t="s">
        <v>5</v>
      </c>
      <c r="AR24" s="18" t="s">
        <v>41</v>
      </c>
      <c r="AS24" s="18" t="s">
        <v>41</v>
      </c>
      <c r="AT24" s="13" t="s">
        <v>5</v>
      </c>
    </row>
    <row r="25" spans="1:46">
      <c r="A25" s="9" t="s">
        <v>356</v>
      </c>
      <c r="B25" s="7" t="s">
        <v>5</v>
      </c>
      <c r="C25" s="7" t="s">
        <v>5</v>
      </c>
      <c r="D25" s="7" t="s">
        <v>5</v>
      </c>
      <c r="E25" s="7" t="s">
        <v>5</v>
      </c>
      <c r="F25" s="7" t="s">
        <v>5</v>
      </c>
      <c r="G25" s="7" t="s">
        <v>5</v>
      </c>
      <c r="H25" s="7" t="s">
        <v>5</v>
      </c>
      <c r="I25" s="7" t="s">
        <v>5</v>
      </c>
      <c r="J25" s="7" t="s">
        <v>5</v>
      </c>
      <c r="K25" s="7" t="s">
        <v>5</v>
      </c>
      <c r="L25" s="7" t="s">
        <v>5</v>
      </c>
      <c r="M25" s="23" t="s">
        <v>41</v>
      </c>
      <c r="N25" s="18" t="s">
        <v>41</v>
      </c>
      <c r="O25" s="13" t="s">
        <v>5</v>
      </c>
      <c r="P25" s="13" t="s">
        <v>5</v>
      </c>
      <c r="Q25" s="13" t="s">
        <v>5</v>
      </c>
      <c r="R25" s="13" t="s">
        <v>5</v>
      </c>
      <c r="S25" s="18" t="s">
        <v>41</v>
      </c>
      <c r="T25" s="18" t="s">
        <v>41</v>
      </c>
      <c r="U25" s="18" t="s">
        <v>41</v>
      </c>
      <c r="V25" s="13" t="s">
        <v>5</v>
      </c>
      <c r="W25" s="13" t="s">
        <v>5</v>
      </c>
      <c r="X25" s="18" t="s">
        <v>41</v>
      </c>
      <c r="Y25" s="13" t="s">
        <v>5</v>
      </c>
      <c r="Z25" s="18" t="s">
        <v>41</v>
      </c>
      <c r="AA25" s="13" t="s">
        <v>5</v>
      </c>
      <c r="AB25" s="18" t="s">
        <v>41</v>
      </c>
      <c r="AC25" s="13" t="s">
        <v>5</v>
      </c>
      <c r="AD25" s="13" t="s">
        <v>5</v>
      </c>
      <c r="AE25" s="18" t="s">
        <v>41</v>
      </c>
      <c r="AF25" s="17" t="s">
        <v>41</v>
      </c>
      <c r="AG25" s="22" t="s">
        <v>5</v>
      </c>
      <c r="AH25" s="22" t="s">
        <v>5</v>
      </c>
      <c r="AI25" s="13" t="s">
        <v>5</v>
      </c>
      <c r="AJ25" s="13" t="s">
        <v>5</v>
      </c>
      <c r="AK25" s="13" t="s">
        <v>5</v>
      </c>
      <c r="AL25" s="13" t="s">
        <v>507</v>
      </c>
      <c r="AM25" s="13" t="s">
        <v>5</v>
      </c>
      <c r="AN25" s="13" t="s">
        <v>5</v>
      </c>
      <c r="AO25" s="13" t="s">
        <v>5</v>
      </c>
      <c r="AP25" s="13" t="s">
        <v>5</v>
      </c>
      <c r="AQ25" s="13" t="s">
        <v>5</v>
      </c>
      <c r="AR25" s="13" t="s">
        <v>5</v>
      </c>
      <c r="AS25" s="13" t="s">
        <v>5</v>
      </c>
      <c r="AT25" s="13" t="s">
        <v>5</v>
      </c>
    </row>
    <row r="26" spans="1:46">
      <c r="A26" s="9" t="s">
        <v>357</v>
      </c>
      <c r="B26" s="7" t="s">
        <v>358</v>
      </c>
      <c r="C26" s="7" t="s">
        <v>359</v>
      </c>
      <c r="D26" s="7" t="s">
        <v>360</v>
      </c>
      <c r="E26" s="7" t="s">
        <v>389</v>
      </c>
      <c r="F26" s="7" t="s">
        <v>389</v>
      </c>
      <c r="G26" s="7" t="s">
        <v>358</v>
      </c>
      <c r="H26" s="7" t="s">
        <v>405</v>
      </c>
      <c r="I26" s="7" t="s">
        <v>358</v>
      </c>
      <c r="J26" s="7" t="s">
        <v>358</v>
      </c>
      <c r="K26" s="7" t="s">
        <v>358</v>
      </c>
      <c r="L26" s="7" t="s">
        <v>358</v>
      </c>
      <c r="M26" s="7" t="s">
        <v>358</v>
      </c>
      <c r="N26" s="13" t="s">
        <v>358</v>
      </c>
      <c r="O26" s="13" t="s">
        <v>426</v>
      </c>
      <c r="P26" s="13" t="s">
        <v>426</v>
      </c>
      <c r="Q26" s="13" t="s">
        <v>426</v>
      </c>
      <c r="R26" s="13" t="s">
        <v>358</v>
      </c>
      <c r="S26" s="13" t="s">
        <v>358</v>
      </c>
      <c r="T26" s="13" t="s">
        <v>358</v>
      </c>
      <c r="U26" s="13" t="s">
        <v>358</v>
      </c>
      <c r="V26" s="13" t="s">
        <v>358</v>
      </c>
      <c r="W26" s="13" t="s">
        <v>358</v>
      </c>
      <c r="X26" s="13" t="s">
        <v>358</v>
      </c>
      <c r="Y26" s="13" t="s">
        <v>426</v>
      </c>
      <c r="Z26" s="13" t="s">
        <v>426</v>
      </c>
      <c r="AA26" s="13" t="s">
        <v>358</v>
      </c>
      <c r="AB26" s="13" t="s">
        <v>358</v>
      </c>
      <c r="AC26" s="13" t="s">
        <v>358</v>
      </c>
      <c r="AD26" s="13" t="s">
        <v>358</v>
      </c>
      <c r="AE26" s="13" t="s">
        <v>358</v>
      </c>
      <c r="AF26" s="22" t="s">
        <v>358</v>
      </c>
      <c r="AG26" s="22" t="s">
        <v>426</v>
      </c>
      <c r="AH26" s="22" t="s">
        <v>426</v>
      </c>
      <c r="AI26" s="13" t="s">
        <v>358</v>
      </c>
      <c r="AJ26" s="13" t="s">
        <v>358</v>
      </c>
      <c r="AK26" s="13" t="s">
        <v>358</v>
      </c>
      <c r="AL26" s="13" t="s">
        <v>508</v>
      </c>
      <c r="AM26" s="13" t="s">
        <v>358</v>
      </c>
      <c r="AN26" s="13" t="s">
        <v>358</v>
      </c>
      <c r="AO26" s="13" t="s">
        <v>358</v>
      </c>
      <c r="AP26" s="13" t="s">
        <v>358</v>
      </c>
      <c r="AQ26" s="13" t="s">
        <v>358</v>
      </c>
      <c r="AR26" s="13" t="s">
        <v>426</v>
      </c>
      <c r="AS26" s="13" t="s">
        <v>426</v>
      </c>
      <c r="AT26" s="13" t="s">
        <v>358</v>
      </c>
    </row>
    <row r="27" spans="1:46">
      <c r="A27" s="9" t="s">
        <v>361</v>
      </c>
      <c r="B27" s="7" t="s">
        <v>41</v>
      </c>
      <c r="C27" s="23" t="s">
        <v>5</v>
      </c>
      <c r="D27" s="23" t="s">
        <v>5</v>
      </c>
      <c r="E27" s="7" t="s">
        <v>41</v>
      </c>
      <c r="F27" s="7" t="s">
        <v>41</v>
      </c>
      <c r="G27" s="7" t="s">
        <v>41</v>
      </c>
      <c r="H27" s="7" t="s">
        <v>41</v>
      </c>
      <c r="I27" s="7" t="s">
        <v>41</v>
      </c>
      <c r="J27" s="7" t="s">
        <v>41</v>
      </c>
      <c r="K27" s="7" t="s">
        <v>41</v>
      </c>
      <c r="L27" s="7" t="s">
        <v>41</v>
      </c>
      <c r="M27" s="7" t="s">
        <v>41</v>
      </c>
      <c r="N27" s="13" t="s">
        <v>41</v>
      </c>
      <c r="O27" s="13" t="s">
        <v>41</v>
      </c>
      <c r="P27" s="13" t="s">
        <v>41</v>
      </c>
      <c r="Q27" s="13" t="s">
        <v>41</v>
      </c>
      <c r="R27" s="13" t="s">
        <v>41</v>
      </c>
      <c r="S27" s="13" t="s">
        <v>41</v>
      </c>
      <c r="T27" s="13" t="s">
        <v>41</v>
      </c>
      <c r="U27" s="13" t="s">
        <v>41</v>
      </c>
      <c r="V27" s="13" t="s">
        <v>41</v>
      </c>
      <c r="W27" s="13" t="s">
        <v>41</v>
      </c>
      <c r="X27" s="13" t="s">
        <v>41</v>
      </c>
      <c r="Y27" s="13" t="s">
        <v>41</v>
      </c>
      <c r="Z27" s="13" t="s">
        <v>41</v>
      </c>
      <c r="AA27" s="13" t="s">
        <v>41</v>
      </c>
      <c r="AB27" s="18" t="s">
        <v>5</v>
      </c>
      <c r="AC27" s="13" t="s">
        <v>41</v>
      </c>
      <c r="AD27" s="13" t="s">
        <v>41</v>
      </c>
      <c r="AE27" s="13" t="s">
        <v>41</v>
      </c>
      <c r="AF27" s="22" t="s">
        <v>41</v>
      </c>
      <c r="AG27" s="22" t="s">
        <v>41</v>
      </c>
      <c r="AH27" s="22" t="s">
        <v>41</v>
      </c>
      <c r="AI27" s="13" t="s">
        <v>41</v>
      </c>
      <c r="AJ27" s="13" t="s">
        <v>41</v>
      </c>
      <c r="AK27" s="13" t="s">
        <v>41</v>
      </c>
      <c r="AL27" s="13" t="s">
        <v>509</v>
      </c>
      <c r="AM27" s="13" t="s">
        <v>41</v>
      </c>
      <c r="AN27" s="13" t="s">
        <v>41</v>
      </c>
      <c r="AO27" s="13" t="s">
        <v>41</v>
      </c>
      <c r="AP27" s="13" t="s">
        <v>41</v>
      </c>
      <c r="AQ27" s="13" t="s">
        <v>41</v>
      </c>
      <c r="AR27" s="13" t="s">
        <v>41</v>
      </c>
      <c r="AS27" s="13" t="s">
        <v>41</v>
      </c>
      <c r="AT27" s="13" t="s">
        <v>41</v>
      </c>
    </row>
    <row r="28" spans="1:46">
      <c r="A28" s="9" t="s">
        <v>362</v>
      </c>
      <c r="B28" s="7" t="s">
        <v>5</v>
      </c>
      <c r="C28" s="23" t="s">
        <v>41</v>
      </c>
      <c r="D28" s="23" t="s">
        <v>41</v>
      </c>
      <c r="E28" s="23" t="s">
        <v>41</v>
      </c>
      <c r="F28" s="23" t="s">
        <v>41</v>
      </c>
      <c r="G28" s="7" t="s">
        <v>5</v>
      </c>
      <c r="H28" s="7" t="s">
        <v>5</v>
      </c>
      <c r="I28" s="7" t="s">
        <v>5</v>
      </c>
      <c r="J28" s="23" t="s">
        <v>41</v>
      </c>
      <c r="K28" s="23" t="s">
        <v>41</v>
      </c>
      <c r="L28" s="23" t="s">
        <v>41</v>
      </c>
      <c r="M28" s="23" t="s">
        <v>41</v>
      </c>
      <c r="N28" s="18" t="s">
        <v>41</v>
      </c>
      <c r="O28" s="18" t="s">
        <v>41</v>
      </c>
      <c r="P28" s="13" t="s">
        <v>5</v>
      </c>
      <c r="Q28" s="18" t="s">
        <v>41</v>
      </c>
      <c r="R28" s="18" t="s">
        <v>41</v>
      </c>
      <c r="S28" s="18" t="s">
        <v>41</v>
      </c>
      <c r="T28" s="18" t="s">
        <v>41</v>
      </c>
      <c r="U28" s="18" t="s">
        <v>41</v>
      </c>
      <c r="V28" s="18" t="s">
        <v>41</v>
      </c>
      <c r="W28" s="18" t="s">
        <v>41</v>
      </c>
      <c r="X28" s="18" t="s">
        <v>41</v>
      </c>
      <c r="Y28" s="18" t="s">
        <v>41</v>
      </c>
      <c r="Z28" s="18" t="s">
        <v>41</v>
      </c>
      <c r="AA28" s="18" t="s">
        <v>41</v>
      </c>
      <c r="AB28" s="18" t="s">
        <v>41</v>
      </c>
      <c r="AC28" s="18" t="s">
        <v>41</v>
      </c>
      <c r="AD28" s="18" t="s">
        <v>41</v>
      </c>
      <c r="AE28" s="18" t="s">
        <v>41</v>
      </c>
      <c r="AF28" s="17" t="s">
        <v>41</v>
      </c>
      <c r="AG28" s="17" t="s">
        <v>41</v>
      </c>
      <c r="AH28" s="17" t="s">
        <v>41</v>
      </c>
      <c r="AI28" s="18" t="s">
        <v>41</v>
      </c>
      <c r="AJ28" s="13" t="s">
        <v>5</v>
      </c>
      <c r="AK28" s="18" t="s">
        <v>41</v>
      </c>
      <c r="AL28" s="18" t="s">
        <v>41</v>
      </c>
      <c r="AM28" s="18" t="s">
        <v>41</v>
      </c>
      <c r="AN28" s="18" t="s">
        <v>41</v>
      </c>
      <c r="AO28" s="18" t="s">
        <v>41</v>
      </c>
      <c r="AP28" s="18" t="s">
        <v>41</v>
      </c>
      <c r="AQ28" s="18" t="s">
        <v>41</v>
      </c>
      <c r="AR28" s="18" t="s">
        <v>41</v>
      </c>
      <c r="AS28" s="18" t="s">
        <v>41</v>
      </c>
      <c r="AT28" s="13" t="s">
        <v>5</v>
      </c>
    </row>
    <row r="29" spans="1:46">
      <c r="A29" s="9" t="s">
        <v>363</v>
      </c>
      <c r="B29" s="7" t="s">
        <v>5</v>
      </c>
      <c r="C29" s="23" t="s">
        <v>41</v>
      </c>
      <c r="D29" s="23" t="s">
        <v>41</v>
      </c>
      <c r="E29" s="23" t="s">
        <v>41</v>
      </c>
      <c r="F29" s="23" t="s">
        <v>41</v>
      </c>
      <c r="G29" s="7" t="s">
        <v>5</v>
      </c>
      <c r="H29" s="7" t="s">
        <v>5</v>
      </c>
      <c r="I29" s="7" t="s">
        <v>5</v>
      </c>
      <c r="J29" s="7" t="s">
        <v>5</v>
      </c>
      <c r="K29" s="7" t="s">
        <v>5</v>
      </c>
      <c r="L29" s="7" t="s">
        <v>5</v>
      </c>
      <c r="M29" s="23" t="s">
        <v>41</v>
      </c>
      <c r="N29" s="18" t="s">
        <v>41</v>
      </c>
      <c r="O29" s="13" t="s">
        <v>5</v>
      </c>
      <c r="P29" s="18" t="s">
        <v>41</v>
      </c>
      <c r="Q29" s="18" t="s">
        <v>41</v>
      </c>
      <c r="R29" s="18" t="s">
        <v>41</v>
      </c>
      <c r="S29" s="18" t="s">
        <v>41</v>
      </c>
      <c r="T29" s="18" t="s">
        <v>41</v>
      </c>
      <c r="U29" s="18" t="s">
        <v>41</v>
      </c>
      <c r="V29" s="18" t="s">
        <v>41</v>
      </c>
      <c r="W29" s="18" t="s">
        <v>41</v>
      </c>
      <c r="X29" s="18" t="s">
        <v>41</v>
      </c>
      <c r="Y29" s="18" t="s">
        <v>41</v>
      </c>
      <c r="Z29" s="18" t="s">
        <v>41</v>
      </c>
      <c r="AA29" s="18" t="s">
        <v>41</v>
      </c>
      <c r="AB29" s="18" t="s">
        <v>41</v>
      </c>
      <c r="AC29" s="18" t="s">
        <v>41</v>
      </c>
      <c r="AD29" s="18" t="s">
        <v>41</v>
      </c>
      <c r="AE29" s="18" t="s">
        <v>41</v>
      </c>
      <c r="AF29" s="17" t="s">
        <v>41</v>
      </c>
      <c r="AG29" s="17" t="s">
        <v>41</v>
      </c>
      <c r="AH29" s="17" t="s">
        <v>5</v>
      </c>
      <c r="AI29" s="18" t="s">
        <v>41</v>
      </c>
      <c r="AJ29" s="18" t="s">
        <v>41</v>
      </c>
      <c r="AK29" s="13" t="s">
        <v>5</v>
      </c>
      <c r="AL29" s="18" t="s">
        <v>41</v>
      </c>
      <c r="AM29" s="18" t="s">
        <v>41</v>
      </c>
      <c r="AN29" s="18" t="s">
        <v>41</v>
      </c>
      <c r="AO29" s="18" t="s">
        <v>41</v>
      </c>
      <c r="AP29" s="18" t="s">
        <v>41</v>
      </c>
      <c r="AQ29" s="18" t="s">
        <v>41</v>
      </c>
      <c r="AR29" s="13" t="s">
        <v>5</v>
      </c>
      <c r="AS29" s="13" t="s">
        <v>5</v>
      </c>
      <c r="AT29" s="13" t="s">
        <v>5</v>
      </c>
    </row>
    <row r="30" spans="1:46">
      <c r="A30" s="9" t="s">
        <v>364</v>
      </c>
      <c r="B30" s="23" t="s">
        <v>41</v>
      </c>
      <c r="C30" s="23" t="s">
        <v>41</v>
      </c>
      <c r="D30" s="23" t="s">
        <v>41</v>
      </c>
      <c r="E30" s="23" t="s">
        <v>41</v>
      </c>
      <c r="F30" s="23" t="s">
        <v>41</v>
      </c>
      <c r="G30" s="23" t="s">
        <v>41</v>
      </c>
      <c r="H30" s="23" t="s">
        <v>111</v>
      </c>
      <c r="I30" s="23" t="s">
        <v>41</v>
      </c>
      <c r="J30" s="23" t="s">
        <v>41</v>
      </c>
      <c r="K30" s="23" t="s">
        <v>41</v>
      </c>
      <c r="L30" s="23" t="s">
        <v>41</v>
      </c>
      <c r="M30" s="23" t="s">
        <v>41</v>
      </c>
      <c r="N30" s="18" t="s">
        <v>41</v>
      </c>
      <c r="O30" s="18" t="s">
        <v>41</v>
      </c>
      <c r="P30" s="13" t="s">
        <v>5</v>
      </c>
      <c r="Q30" s="18" t="s">
        <v>41</v>
      </c>
      <c r="R30" s="18" t="s">
        <v>41</v>
      </c>
      <c r="S30" s="18" t="s">
        <v>41</v>
      </c>
      <c r="T30" s="18" t="s">
        <v>41</v>
      </c>
      <c r="U30" s="18" t="s">
        <v>41</v>
      </c>
      <c r="V30" s="18" t="s">
        <v>41</v>
      </c>
      <c r="W30" s="18" t="s">
        <v>41</v>
      </c>
      <c r="X30" s="18" t="s">
        <v>41</v>
      </c>
      <c r="Y30" s="18" t="s">
        <v>41</v>
      </c>
      <c r="Z30" s="18" t="s">
        <v>41</v>
      </c>
      <c r="AA30" s="18" t="s">
        <v>41</v>
      </c>
      <c r="AB30" s="18" t="s">
        <v>41</v>
      </c>
      <c r="AC30" s="18" t="s">
        <v>41</v>
      </c>
      <c r="AD30" s="18" t="s">
        <v>41</v>
      </c>
      <c r="AE30" s="18" t="s">
        <v>41</v>
      </c>
      <c r="AF30" s="17" t="s">
        <v>41</v>
      </c>
      <c r="AG30" s="17" t="s">
        <v>41</v>
      </c>
      <c r="AH30" s="17" t="s">
        <v>41</v>
      </c>
      <c r="AI30" s="18" t="s">
        <v>41</v>
      </c>
      <c r="AJ30" s="18" t="s">
        <v>41</v>
      </c>
      <c r="AK30" s="18" t="s">
        <v>41</v>
      </c>
      <c r="AL30" s="18" t="s">
        <v>41</v>
      </c>
      <c r="AM30" s="18" t="s">
        <v>41</v>
      </c>
      <c r="AN30" s="18" t="s">
        <v>41</v>
      </c>
      <c r="AO30" s="18" t="s">
        <v>41</v>
      </c>
      <c r="AP30" s="18" t="s">
        <v>41</v>
      </c>
      <c r="AQ30" s="18" t="s">
        <v>41</v>
      </c>
      <c r="AR30" s="18" t="s">
        <v>41</v>
      </c>
      <c r="AS30" s="18" t="s">
        <v>41</v>
      </c>
      <c r="AT30" s="18" t="s">
        <v>41</v>
      </c>
    </row>
    <row r="31" spans="1:46">
      <c r="A31" s="9" t="s">
        <v>365</v>
      </c>
      <c r="B31" s="7" t="s">
        <v>41</v>
      </c>
      <c r="C31" s="23" t="s">
        <v>5</v>
      </c>
      <c r="D31" s="23" t="s">
        <v>5</v>
      </c>
      <c r="E31" s="7" t="s">
        <v>41</v>
      </c>
      <c r="F31" s="7" t="s">
        <v>41</v>
      </c>
      <c r="G31" s="7" t="s">
        <v>41</v>
      </c>
      <c r="H31" s="7" t="s">
        <v>41</v>
      </c>
      <c r="I31" s="7" t="s">
        <v>41</v>
      </c>
      <c r="J31" s="7" t="s">
        <v>41</v>
      </c>
      <c r="K31" s="7" t="s">
        <v>41</v>
      </c>
      <c r="L31" s="7" t="s">
        <v>41</v>
      </c>
      <c r="M31" s="7" t="s">
        <v>41</v>
      </c>
      <c r="N31" s="13" t="s">
        <v>41</v>
      </c>
      <c r="O31" s="13" t="s">
        <v>41</v>
      </c>
      <c r="P31" s="13" t="s">
        <v>427</v>
      </c>
      <c r="Q31" s="13" t="s">
        <v>41</v>
      </c>
      <c r="R31" s="13" t="s">
        <v>41</v>
      </c>
      <c r="S31" s="13" t="s">
        <v>41</v>
      </c>
      <c r="T31" s="13" t="s">
        <v>41</v>
      </c>
      <c r="U31" s="13" t="s">
        <v>41</v>
      </c>
      <c r="V31" s="13" t="s">
        <v>41</v>
      </c>
      <c r="W31" s="13" t="s">
        <v>41</v>
      </c>
      <c r="X31" s="13" t="s">
        <v>41</v>
      </c>
      <c r="Y31" s="13" t="s">
        <v>41</v>
      </c>
      <c r="Z31" s="13" t="s">
        <v>41</v>
      </c>
      <c r="AA31" s="13" t="s">
        <v>41</v>
      </c>
      <c r="AB31" s="18" t="s">
        <v>5</v>
      </c>
      <c r="AC31" s="13" t="s">
        <v>41</v>
      </c>
      <c r="AD31" s="13" t="s">
        <v>41</v>
      </c>
      <c r="AE31" s="13" t="s">
        <v>41</v>
      </c>
      <c r="AF31" s="22" t="s">
        <v>41</v>
      </c>
      <c r="AG31" s="22" t="s">
        <v>41</v>
      </c>
      <c r="AH31" s="22" t="s">
        <v>41</v>
      </c>
      <c r="AI31" s="13" t="s">
        <v>41</v>
      </c>
      <c r="AJ31" s="13" t="s">
        <v>41</v>
      </c>
      <c r="AK31" s="13" t="s">
        <v>41</v>
      </c>
      <c r="AL31" s="13" t="s">
        <v>41</v>
      </c>
      <c r="AM31" s="13" t="s">
        <v>41</v>
      </c>
      <c r="AN31" s="13" t="s">
        <v>41</v>
      </c>
      <c r="AO31" s="13" t="s">
        <v>41</v>
      </c>
      <c r="AP31" s="18" t="s">
        <v>5</v>
      </c>
      <c r="AQ31" s="18" t="s">
        <v>5</v>
      </c>
      <c r="AR31" s="13" t="s">
        <v>41</v>
      </c>
      <c r="AS31" s="13" t="s">
        <v>41</v>
      </c>
      <c r="AT31" s="13" t="s">
        <v>41</v>
      </c>
    </row>
    <row r="32" spans="1:46">
      <c r="A32" s="9" t="s">
        <v>366</v>
      </c>
      <c r="B32" s="7" t="s">
        <v>41</v>
      </c>
      <c r="C32" s="23" t="s">
        <v>5</v>
      </c>
      <c r="D32" s="23" t="s">
        <v>5</v>
      </c>
      <c r="E32" s="7" t="s">
        <v>41</v>
      </c>
      <c r="F32" s="7" t="s">
        <v>41</v>
      </c>
      <c r="G32" s="7" t="s">
        <v>41</v>
      </c>
      <c r="H32" s="7" t="s">
        <v>41</v>
      </c>
      <c r="I32" s="7" t="s">
        <v>41</v>
      </c>
      <c r="J32" s="7" t="s">
        <v>41</v>
      </c>
      <c r="K32" s="7" t="s">
        <v>41</v>
      </c>
      <c r="L32" s="7" t="s">
        <v>41</v>
      </c>
      <c r="M32" s="7" t="s">
        <v>41</v>
      </c>
      <c r="N32" s="13" t="s">
        <v>41</v>
      </c>
      <c r="O32" s="13" t="s">
        <v>41</v>
      </c>
      <c r="P32" s="13" t="s">
        <v>41</v>
      </c>
      <c r="Q32" s="13" t="s">
        <v>41</v>
      </c>
      <c r="R32" s="13" t="s">
        <v>41</v>
      </c>
      <c r="S32" s="13" t="s">
        <v>41</v>
      </c>
      <c r="T32" s="13" t="s">
        <v>41</v>
      </c>
      <c r="U32" s="13" t="s">
        <v>41</v>
      </c>
      <c r="V32" s="13" t="s">
        <v>41</v>
      </c>
      <c r="W32" s="13" t="s">
        <v>41</v>
      </c>
      <c r="X32" s="13" t="s">
        <v>41</v>
      </c>
      <c r="Y32" s="13" t="s">
        <v>41</v>
      </c>
      <c r="Z32" s="13" t="s">
        <v>41</v>
      </c>
      <c r="AA32" s="13" t="s">
        <v>41</v>
      </c>
      <c r="AB32" s="13" t="s">
        <v>41</v>
      </c>
      <c r="AC32" s="13" t="s">
        <v>41</v>
      </c>
      <c r="AD32" s="13" t="s">
        <v>41</v>
      </c>
      <c r="AE32" s="13" t="s">
        <v>41</v>
      </c>
      <c r="AF32" s="22" t="s">
        <v>41</v>
      </c>
      <c r="AG32" s="17" t="s">
        <v>5</v>
      </c>
      <c r="AH32" s="22" t="s">
        <v>41</v>
      </c>
      <c r="AI32" s="13" t="s">
        <v>41</v>
      </c>
      <c r="AJ32" s="13" t="s">
        <v>41</v>
      </c>
      <c r="AK32" s="13" t="s">
        <v>41</v>
      </c>
      <c r="AL32" s="13" t="s">
        <v>41</v>
      </c>
      <c r="AM32" s="13" t="s">
        <v>41</v>
      </c>
      <c r="AN32" s="13" t="s">
        <v>41</v>
      </c>
      <c r="AO32" s="13" t="s">
        <v>41</v>
      </c>
      <c r="AP32" s="18" t="s">
        <v>5</v>
      </c>
      <c r="AQ32" s="18" t="s">
        <v>5</v>
      </c>
      <c r="AR32" s="18" t="s">
        <v>5</v>
      </c>
      <c r="AS32" s="18" t="s">
        <v>5</v>
      </c>
      <c r="AT32" s="13" t="s">
        <v>41</v>
      </c>
    </row>
    <row r="33" spans="1:46">
      <c r="A33" s="9" t="s">
        <v>367</v>
      </c>
      <c r="B33" s="23" t="s">
        <v>41</v>
      </c>
      <c r="C33" s="23" t="s">
        <v>41</v>
      </c>
      <c r="D33" s="23" t="s">
        <v>41</v>
      </c>
      <c r="E33" s="23" t="s">
        <v>41</v>
      </c>
      <c r="F33" s="23" t="s">
        <v>41</v>
      </c>
      <c r="G33" s="7" t="s">
        <v>5</v>
      </c>
      <c r="H33" s="23" t="s">
        <v>41</v>
      </c>
      <c r="I33" s="23" t="s">
        <v>406</v>
      </c>
      <c r="J33" s="7" t="s">
        <v>5</v>
      </c>
      <c r="K33" s="7" t="s">
        <v>5</v>
      </c>
      <c r="L33" s="7" t="s">
        <v>5</v>
      </c>
      <c r="M33" s="23" t="s">
        <v>41</v>
      </c>
      <c r="N33" s="18" t="s">
        <v>41</v>
      </c>
      <c r="O33" s="18" t="s">
        <v>41</v>
      </c>
      <c r="P33" s="18" t="s">
        <v>41</v>
      </c>
      <c r="Q33" s="18" t="s">
        <v>41</v>
      </c>
      <c r="R33" s="18" t="s">
        <v>41</v>
      </c>
      <c r="S33" s="18" t="s">
        <v>41</v>
      </c>
      <c r="T33" s="18" t="s">
        <v>41</v>
      </c>
      <c r="U33" s="18" t="s">
        <v>41</v>
      </c>
      <c r="V33" s="18" t="s">
        <v>41</v>
      </c>
      <c r="W33" s="18" t="s">
        <v>41</v>
      </c>
      <c r="X33" s="18" t="s">
        <v>41</v>
      </c>
      <c r="Y33" s="18" t="s">
        <v>41</v>
      </c>
      <c r="Z33" s="18" t="s">
        <v>41</v>
      </c>
      <c r="AA33" s="18" t="s">
        <v>41</v>
      </c>
      <c r="AB33" s="18" t="s">
        <v>41</v>
      </c>
      <c r="AC33" s="18" t="s">
        <v>41</v>
      </c>
      <c r="AD33" s="18" t="s">
        <v>41</v>
      </c>
      <c r="AE33" s="18" t="s">
        <v>41</v>
      </c>
      <c r="AF33" s="17" t="s">
        <v>41</v>
      </c>
      <c r="AG33" s="17" t="s">
        <v>41</v>
      </c>
      <c r="AH33" s="17" t="s">
        <v>41</v>
      </c>
      <c r="AI33" s="18" t="s">
        <v>41</v>
      </c>
      <c r="AJ33" s="13" t="s">
        <v>5</v>
      </c>
      <c r="AK33" s="13" t="s">
        <v>5</v>
      </c>
      <c r="AL33" s="18" t="s">
        <v>41</v>
      </c>
      <c r="AM33" s="18" t="s">
        <v>41</v>
      </c>
      <c r="AN33" s="18" t="s">
        <v>41</v>
      </c>
      <c r="AO33" s="18" t="s">
        <v>41</v>
      </c>
      <c r="AP33" s="18" t="s">
        <v>41</v>
      </c>
      <c r="AQ33" s="18" t="s">
        <v>41</v>
      </c>
      <c r="AR33" s="18" t="s">
        <v>41</v>
      </c>
      <c r="AS33" s="18" t="s">
        <v>41</v>
      </c>
      <c r="AT33" s="18" t="s">
        <v>41</v>
      </c>
    </row>
    <row r="34" spans="1:46">
      <c r="A34" s="9" t="s">
        <v>368</v>
      </c>
      <c r="B34" s="7" t="s">
        <v>5</v>
      </c>
      <c r="C34" s="23" t="s">
        <v>41</v>
      </c>
      <c r="D34" s="23" t="s">
        <v>41</v>
      </c>
      <c r="E34" s="23" t="s">
        <v>41</v>
      </c>
      <c r="F34" s="23" t="s">
        <v>41</v>
      </c>
      <c r="G34" s="7" t="s">
        <v>5</v>
      </c>
      <c r="H34" s="7" t="s">
        <v>5</v>
      </c>
      <c r="I34" s="7" t="s">
        <v>5</v>
      </c>
      <c r="J34" s="7" t="s">
        <v>5</v>
      </c>
      <c r="K34" s="7" t="s">
        <v>5</v>
      </c>
      <c r="L34" s="7" t="s">
        <v>5</v>
      </c>
      <c r="M34" s="23" t="s">
        <v>41</v>
      </c>
      <c r="N34" s="18" t="s">
        <v>41</v>
      </c>
      <c r="O34" s="18" t="s">
        <v>41</v>
      </c>
      <c r="P34" s="18" t="s">
        <v>41</v>
      </c>
      <c r="Q34" s="13" t="s">
        <v>5</v>
      </c>
      <c r="R34" s="13" t="s">
        <v>5</v>
      </c>
      <c r="S34" s="13" t="s">
        <v>5</v>
      </c>
      <c r="T34" s="18" t="s">
        <v>41</v>
      </c>
      <c r="U34" s="18" t="s">
        <v>41</v>
      </c>
      <c r="V34" s="13" t="s">
        <v>5</v>
      </c>
      <c r="W34" s="13" t="s">
        <v>5</v>
      </c>
      <c r="X34" s="18" t="s">
        <v>41</v>
      </c>
      <c r="Y34" s="13" t="s">
        <v>5</v>
      </c>
      <c r="Z34" s="18" t="s">
        <v>41</v>
      </c>
      <c r="AA34" s="18" t="s">
        <v>41</v>
      </c>
      <c r="AB34" s="18" t="s">
        <v>41</v>
      </c>
      <c r="AC34" s="18" t="s">
        <v>41</v>
      </c>
      <c r="AD34" s="18" t="s">
        <v>41</v>
      </c>
      <c r="AE34" s="18" t="s">
        <v>41</v>
      </c>
      <c r="AF34" s="17" t="s">
        <v>41</v>
      </c>
      <c r="AG34" s="17" t="s">
        <v>41</v>
      </c>
      <c r="AH34" s="22" t="s">
        <v>491</v>
      </c>
      <c r="AI34" s="18" t="s">
        <v>41</v>
      </c>
      <c r="AJ34" s="13" t="s">
        <v>5</v>
      </c>
      <c r="AK34" s="13" t="s">
        <v>5</v>
      </c>
      <c r="AL34" s="18" t="s">
        <v>41</v>
      </c>
      <c r="AM34" s="13" t="s">
        <v>5</v>
      </c>
      <c r="AN34" s="18" t="s">
        <v>41</v>
      </c>
      <c r="AO34" s="18" t="s">
        <v>41</v>
      </c>
      <c r="AP34" s="18" t="s">
        <v>41</v>
      </c>
      <c r="AQ34" s="18" t="s">
        <v>41</v>
      </c>
      <c r="AR34" s="18" t="s">
        <v>41</v>
      </c>
      <c r="AS34" s="18" t="s">
        <v>41</v>
      </c>
      <c r="AT34" s="13" t="s">
        <v>5</v>
      </c>
    </row>
    <row r="35" spans="1:46">
      <c r="A35" s="9" t="s">
        <v>369</v>
      </c>
      <c r="B35" s="7" t="s">
        <v>370</v>
      </c>
      <c r="C35" s="7" t="s">
        <v>371</v>
      </c>
      <c r="D35" s="7" t="s">
        <v>371</v>
      </c>
      <c r="E35" s="7" t="s">
        <v>370</v>
      </c>
      <c r="F35" s="7" t="s">
        <v>370</v>
      </c>
      <c r="G35" s="7" t="s">
        <v>390</v>
      </c>
      <c r="H35" s="7" t="s">
        <v>370</v>
      </c>
      <c r="I35" s="7" t="s">
        <v>370</v>
      </c>
      <c r="J35" s="7" t="s">
        <v>407</v>
      </c>
      <c r="K35" s="7" t="s">
        <v>407</v>
      </c>
      <c r="L35" s="7" t="s">
        <v>407</v>
      </c>
      <c r="M35" s="7" t="s">
        <v>370</v>
      </c>
      <c r="N35" s="13" t="s">
        <v>370</v>
      </c>
      <c r="O35" s="13" t="s">
        <v>370</v>
      </c>
      <c r="P35" s="13" t="s">
        <v>428</v>
      </c>
      <c r="Q35" s="13" t="s">
        <v>440</v>
      </c>
      <c r="R35" s="13" t="s">
        <v>441</v>
      </c>
      <c r="S35" s="13" t="s">
        <v>441</v>
      </c>
      <c r="T35" s="13" t="s">
        <v>370</v>
      </c>
      <c r="U35" s="13" t="s">
        <v>370</v>
      </c>
      <c r="V35" s="13" t="s">
        <v>370</v>
      </c>
      <c r="W35" s="13" t="s">
        <v>370</v>
      </c>
      <c r="X35" s="13" t="s">
        <v>370</v>
      </c>
      <c r="Y35" s="13" t="s">
        <v>440</v>
      </c>
      <c r="Z35" s="13" t="s">
        <v>440</v>
      </c>
      <c r="AA35" s="13" t="s">
        <v>370</v>
      </c>
      <c r="AB35" s="13" t="s">
        <v>370</v>
      </c>
      <c r="AC35" s="13" t="s">
        <v>481</v>
      </c>
      <c r="AD35" s="13" t="s">
        <v>481</v>
      </c>
      <c r="AE35" s="13" t="s">
        <v>370</v>
      </c>
      <c r="AF35" s="22" t="s">
        <v>370</v>
      </c>
      <c r="AG35" s="22" t="s">
        <v>370</v>
      </c>
      <c r="AH35" s="22" t="s">
        <v>370</v>
      </c>
      <c r="AI35" s="13" t="s">
        <v>370</v>
      </c>
      <c r="AJ35" s="13" t="s">
        <v>407</v>
      </c>
      <c r="AK35" s="13" t="s">
        <v>407</v>
      </c>
      <c r="AL35" s="13" t="s">
        <v>510</v>
      </c>
      <c r="AM35" s="13" t="s">
        <v>370</v>
      </c>
      <c r="AN35" s="13" t="s">
        <v>370</v>
      </c>
      <c r="AO35" s="13" t="s">
        <v>370</v>
      </c>
      <c r="AP35" s="13" t="s">
        <v>518</v>
      </c>
      <c r="AQ35" s="13" t="s">
        <v>518</v>
      </c>
      <c r="AR35" s="13" t="s">
        <v>370</v>
      </c>
      <c r="AS35" s="13" t="s">
        <v>370</v>
      </c>
      <c r="AT35" s="18" t="s">
        <v>526</v>
      </c>
    </row>
    <row r="36" spans="1:46">
      <c r="A36" s="9" t="s">
        <v>372</v>
      </c>
      <c r="B36" s="7" t="s">
        <v>41</v>
      </c>
      <c r="C36" s="7" t="s">
        <v>41</v>
      </c>
      <c r="D36" s="7" t="s">
        <v>41</v>
      </c>
      <c r="E36" s="7" t="s">
        <v>41</v>
      </c>
      <c r="F36" s="7" t="s">
        <v>41</v>
      </c>
      <c r="G36" s="7" t="s">
        <v>5</v>
      </c>
      <c r="H36" s="23" t="s">
        <v>41</v>
      </c>
      <c r="I36" s="7" t="s">
        <v>36</v>
      </c>
      <c r="J36" s="7" t="s">
        <v>407</v>
      </c>
      <c r="K36" s="7" t="s">
        <v>407</v>
      </c>
      <c r="L36" s="7" t="s">
        <v>407</v>
      </c>
      <c r="M36" s="23" t="s">
        <v>41</v>
      </c>
      <c r="N36" s="18" t="s">
        <v>41</v>
      </c>
      <c r="O36" s="18" t="s">
        <v>41</v>
      </c>
      <c r="P36" s="18" t="s">
        <v>41</v>
      </c>
      <c r="Q36" s="18" t="s">
        <v>41</v>
      </c>
      <c r="R36" s="18" t="s">
        <v>41</v>
      </c>
      <c r="S36" s="18" t="s">
        <v>41</v>
      </c>
      <c r="T36" s="18" t="s">
        <v>41</v>
      </c>
      <c r="U36" s="18" t="s">
        <v>41</v>
      </c>
      <c r="V36" s="18" t="s">
        <v>41</v>
      </c>
      <c r="W36" s="18" t="s">
        <v>41</v>
      </c>
      <c r="X36" s="18" t="s">
        <v>41</v>
      </c>
      <c r="Y36" s="18" t="s">
        <v>41</v>
      </c>
      <c r="Z36" s="18" t="s">
        <v>41</v>
      </c>
      <c r="AA36" s="18" t="s">
        <v>41</v>
      </c>
      <c r="AB36" s="18" t="s">
        <v>41</v>
      </c>
      <c r="AC36" s="18" t="s">
        <v>41</v>
      </c>
      <c r="AD36" s="18" t="s">
        <v>41</v>
      </c>
      <c r="AE36" s="18" t="s">
        <v>41</v>
      </c>
      <c r="AF36" s="17" t="s">
        <v>41</v>
      </c>
      <c r="AG36" s="17" t="s">
        <v>41</v>
      </c>
      <c r="AH36" s="17" t="s">
        <v>41</v>
      </c>
      <c r="AI36" s="18" t="s">
        <v>41</v>
      </c>
      <c r="AJ36" s="13" t="s">
        <v>407</v>
      </c>
      <c r="AK36" s="13" t="s">
        <v>407</v>
      </c>
      <c r="AL36" s="13" t="s">
        <v>5</v>
      </c>
      <c r="AM36" s="18" t="s">
        <v>41</v>
      </c>
      <c r="AN36" s="18" t="s">
        <v>41</v>
      </c>
      <c r="AO36" s="18" t="s">
        <v>41</v>
      </c>
      <c r="AP36" s="18" t="s">
        <v>41</v>
      </c>
      <c r="AQ36" s="18" t="s">
        <v>41</v>
      </c>
      <c r="AR36" s="18" t="s">
        <v>41</v>
      </c>
      <c r="AS36" s="18" t="s">
        <v>41</v>
      </c>
      <c r="AT36" s="13" t="s">
        <v>5</v>
      </c>
    </row>
    <row r="37" spans="1:46">
      <c r="A37" s="9" t="s">
        <v>373</v>
      </c>
      <c r="B37" s="7" t="s">
        <v>41</v>
      </c>
      <c r="C37" s="7" t="s">
        <v>41</v>
      </c>
      <c r="D37" s="7" t="s">
        <v>41</v>
      </c>
      <c r="E37" s="7" t="s">
        <v>41</v>
      </c>
      <c r="F37" s="7" t="s">
        <v>41</v>
      </c>
      <c r="G37" s="7" t="s">
        <v>391</v>
      </c>
      <c r="H37" s="23" t="s">
        <v>41</v>
      </c>
      <c r="I37" s="7" t="s">
        <v>36</v>
      </c>
      <c r="J37" s="7" t="s">
        <v>407</v>
      </c>
      <c r="K37" s="7" t="s">
        <v>407</v>
      </c>
      <c r="L37" s="7" t="s">
        <v>407</v>
      </c>
      <c r="M37" s="23" t="s">
        <v>41</v>
      </c>
      <c r="N37" s="18" t="s">
        <v>41</v>
      </c>
      <c r="O37" s="18" t="s">
        <v>41</v>
      </c>
      <c r="P37" s="13" t="s">
        <v>5</v>
      </c>
      <c r="Q37" s="18" t="s">
        <v>41</v>
      </c>
      <c r="R37" s="18" t="s">
        <v>41</v>
      </c>
      <c r="S37" s="18" t="s">
        <v>41</v>
      </c>
      <c r="T37" s="18" t="s">
        <v>41</v>
      </c>
      <c r="U37" s="18" t="s">
        <v>41</v>
      </c>
      <c r="V37" s="18" t="s">
        <v>41</v>
      </c>
      <c r="W37" s="18" t="s">
        <v>41</v>
      </c>
      <c r="X37" s="18" t="s">
        <v>41</v>
      </c>
      <c r="Y37" s="18" t="s">
        <v>41</v>
      </c>
      <c r="Z37" s="18" t="s">
        <v>41</v>
      </c>
      <c r="AA37" s="18" t="s">
        <v>41</v>
      </c>
      <c r="AB37" s="18" t="s">
        <v>41</v>
      </c>
      <c r="AC37" s="18" t="s">
        <v>41</v>
      </c>
      <c r="AD37" s="18" t="s">
        <v>41</v>
      </c>
      <c r="AE37" s="18" t="s">
        <v>41</v>
      </c>
      <c r="AF37" s="17" t="s">
        <v>41</v>
      </c>
      <c r="AG37" s="17" t="s">
        <v>41</v>
      </c>
      <c r="AH37" s="17" t="s">
        <v>41</v>
      </c>
      <c r="AI37" s="18" t="s">
        <v>41</v>
      </c>
      <c r="AJ37" s="13" t="s">
        <v>407</v>
      </c>
      <c r="AK37" s="13" t="s">
        <v>407</v>
      </c>
      <c r="AL37" s="13" t="s">
        <v>36</v>
      </c>
      <c r="AM37" s="18" t="s">
        <v>41</v>
      </c>
      <c r="AN37" s="18" t="s">
        <v>41</v>
      </c>
      <c r="AO37" s="18" t="s">
        <v>41</v>
      </c>
      <c r="AP37" s="18" t="s">
        <v>41</v>
      </c>
      <c r="AQ37" s="18" t="s">
        <v>41</v>
      </c>
      <c r="AR37" s="18" t="s">
        <v>41</v>
      </c>
      <c r="AS37" s="18" t="s">
        <v>41</v>
      </c>
      <c r="AT37" s="13" t="s">
        <v>36</v>
      </c>
    </row>
    <row r="38" spans="1:46">
      <c r="A38" s="9" t="s">
        <v>374</v>
      </c>
      <c r="B38" s="7" t="s">
        <v>5</v>
      </c>
      <c r="C38" s="23" t="s">
        <v>41</v>
      </c>
      <c r="D38" s="23" t="s">
        <v>41</v>
      </c>
      <c r="E38" s="23" t="s">
        <v>392</v>
      </c>
      <c r="F38" s="23" t="s">
        <v>392</v>
      </c>
      <c r="G38" s="7" t="s">
        <v>5</v>
      </c>
      <c r="H38" s="23" t="s">
        <v>399</v>
      </c>
      <c r="I38" s="7" t="s">
        <v>5</v>
      </c>
      <c r="J38" s="7" t="s">
        <v>5</v>
      </c>
      <c r="K38" s="7" t="s">
        <v>5</v>
      </c>
      <c r="L38" s="7" t="s">
        <v>5</v>
      </c>
      <c r="M38" s="23" t="s">
        <v>41</v>
      </c>
      <c r="N38" s="18" t="s">
        <v>41</v>
      </c>
      <c r="O38" s="18" t="s">
        <v>41</v>
      </c>
      <c r="P38" s="13" t="s">
        <v>5</v>
      </c>
      <c r="Q38" s="18" t="s">
        <v>41</v>
      </c>
      <c r="R38" s="18" t="s">
        <v>41</v>
      </c>
      <c r="S38" s="18" t="s">
        <v>41</v>
      </c>
      <c r="T38" s="18" t="s">
        <v>41</v>
      </c>
      <c r="U38" s="18" t="s">
        <v>41</v>
      </c>
      <c r="V38" s="18" t="s">
        <v>41</v>
      </c>
      <c r="W38" s="13" t="s">
        <v>5</v>
      </c>
      <c r="X38" s="18" t="s">
        <v>41</v>
      </c>
      <c r="Y38" s="13" t="s">
        <v>5</v>
      </c>
      <c r="Z38" s="18" t="s">
        <v>41</v>
      </c>
      <c r="AA38" s="18" t="s">
        <v>41</v>
      </c>
      <c r="AB38" s="18" t="s">
        <v>41</v>
      </c>
      <c r="AC38" s="18" t="s">
        <v>41</v>
      </c>
      <c r="AD38" s="18" t="s">
        <v>41</v>
      </c>
      <c r="AE38" s="18" t="s">
        <v>482</v>
      </c>
      <c r="AF38" s="17" t="s">
        <v>41</v>
      </c>
      <c r="AG38" s="17" t="s">
        <v>41</v>
      </c>
      <c r="AH38" s="22" t="s">
        <v>5</v>
      </c>
      <c r="AI38" s="18" t="s">
        <v>41</v>
      </c>
      <c r="AJ38" s="13" t="s">
        <v>5</v>
      </c>
      <c r="AK38" s="13" t="s">
        <v>5</v>
      </c>
      <c r="AL38" s="18" t="s">
        <v>41</v>
      </c>
      <c r="AM38" s="18" t="s">
        <v>41</v>
      </c>
      <c r="AN38" s="18" t="s">
        <v>41</v>
      </c>
      <c r="AO38" s="18" t="s">
        <v>41</v>
      </c>
      <c r="AP38" s="18" t="s">
        <v>41</v>
      </c>
      <c r="AQ38" s="18" t="s">
        <v>41</v>
      </c>
      <c r="AR38" s="18" t="s">
        <v>41</v>
      </c>
      <c r="AS38" s="18" t="s">
        <v>41</v>
      </c>
      <c r="AT38" s="18" t="s">
        <v>41</v>
      </c>
    </row>
    <row r="39" spans="1:46">
      <c r="A39" s="9" t="s">
        <v>375</v>
      </c>
      <c r="B39" s="23" t="s">
        <v>376</v>
      </c>
      <c r="C39" s="7" t="s">
        <v>41</v>
      </c>
      <c r="D39" s="7" t="s">
        <v>41</v>
      </c>
      <c r="E39" s="7" t="s">
        <v>393</v>
      </c>
      <c r="F39" s="7" t="s">
        <v>393</v>
      </c>
      <c r="G39" s="7" t="s">
        <v>376</v>
      </c>
      <c r="H39" s="7" t="s">
        <v>408</v>
      </c>
      <c r="I39" s="7" t="s">
        <v>376</v>
      </c>
      <c r="J39" s="7" t="s">
        <v>376</v>
      </c>
      <c r="K39" s="7" t="s">
        <v>376</v>
      </c>
      <c r="L39" s="7" t="s">
        <v>376</v>
      </c>
      <c r="M39" s="7" t="s">
        <v>5</v>
      </c>
      <c r="N39" s="13" t="s">
        <v>5</v>
      </c>
      <c r="O39" s="13" t="s">
        <v>41</v>
      </c>
      <c r="P39" s="13" t="s">
        <v>5</v>
      </c>
      <c r="Q39" s="13" t="s">
        <v>41</v>
      </c>
      <c r="R39" s="13" t="s">
        <v>442</v>
      </c>
      <c r="S39" s="13" t="s">
        <v>5</v>
      </c>
      <c r="T39" s="13" t="s">
        <v>41</v>
      </c>
      <c r="U39" s="13" t="s">
        <v>5</v>
      </c>
      <c r="V39" s="13" t="s">
        <v>41</v>
      </c>
      <c r="W39" s="13" t="s">
        <v>376</v>
      </c>
      <c r="X39" s="13" t="s">
        <v>5</v>
      </c>
      <c r="Y39" s="13" t="s">
        <v>376</v>
      </c>
      <c r="Z39" s="13" t="s">
        <v>5</v>
      </c>
      <c r="AA39" s="13" t="s">
        <v>5</v>
      </c>
      <c r="AB39" s="13" t="s">
        <v>41</v>
      </c>
      <c r="AC39" s="13" t="s">
        <v>41</v>
      </c>
      <c r="AD39" s="13" t="s">
        <v>41</v>
      </c>
      <c r="AE39" s="13" t="s">
        <v>41</v>
      </c>
      <c r="AF39" s="17" t="s">
        <v>5</v>
      </c>
      <c r="AG39" s="17" t="s">
        <v>5</v>
      </c>
      <c r="AH39" s="17" t="s">
        <v>376</v>
      </c>
      <c r="AI39" s="13" t="s">
        <v>41</v>
      </c>
      <c r="AJ39" s="13" t="s">
        <v>376</v>
      </c>
      <c r="AK39" s="13" t="s">
        <v>376</v>
      </c>
      <c r="AL39" s="18" t="s">
        <v>5</v>
      </c>
      <c r="AM39" s="13" t="s">
        <v>41</v>
      </c>
      <c r="AN39" s="18" t="s">
        <v>5</v>
      </c>
      <c r="AO39" s="18" t="s">
        <v>5</v>
      </c>
      <c r="AP39" s="13" t="s">
        <v>41</v>
      </c>
      <c r="AQ39" s="13" t="s">
        <v>41</v>
      </c>
      <c r="AR39" s="18" t="s">
        <v>5</v>
      </c>
      <c r="AS39" s="18" t="s">
        <v>5</v>
      </c>
      <c r="AT39" s="18" t="s">
        <v>36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S36"/>
  <sheetViews>
    <sheetView workbookViewId="0">
      <pane ySplit="600" activePane="bottomLeft"/>
      <selection activeCell="B1" sqref="B1:B1048576"/>
      <selection pane="bottomLeft" activeCell="B30" sqref="B30"/>
    </sheetView>
  </sheetViews>
  <sheetFormatPr baseColWidth="10" defaultColWidth="9.140625" defaultRowHeight="15"/>
  <cols>
    <col min="1" max="1" width="32.28515625" bestFit="1" customWidth="1"/>
    <col min="2" max="2" width="89" bestFit="1" customWidth="1"/>
    <col min="3" max="3" width="55.28515625" bestFit="1" customWidth="1"/>
    <col min="4" max="4" width="116.7109375" bestFit="1" customWidth="1"/>
    <col min="5" max="5" width="38.28515625" bestFit="1" customWidth="1"/>
    <col min="6" max="6" width="43.85546875" bestFit="1" customWidth="1"/>
    <col min="7" max="7" width="38.28515625" bestFit="1" customWidth="1"/>
    <col min="8" max="8" width="83.140625" bestFit="1" customWidth="1"/>
    <col min="9" max="9" width="38.28515625" bestFit="1" customWidth="1"/>
    <col min="10" max="10" width="43.85546875" bestFit="1" customWidth="1"/>
    <col min="11" max="11" width="45.140625" bestFit="1" customWidth="1"/>
    <col min="12" max="12" width="39.85546875" bestFit="1" customWidth="1"/>
    <col min="13" max="13" width="88.140625" bestFit="1" customWidth="1"/>
    <col min="14" max="14" width="38.28515625" bestFit="1" customWidth="1"/>
    <col min="15" max="15" width="85.7109375" bestFit="1" customWidth="1"/>
    <col min="16" max="16" width="52.42578125" bestFit="1" customWidth="1"/>
    <col min="17" max="17" width="38.28515625" bestFit="1" customWidth="1"/>
    <col min="18" max="18" width="90.42578125" bestFit="1" customWidth="1"/>
    <col min="19" max="19" width="56.7109375" bestFit="1" customWidth="1"/>
  </cols>
  <sheetData>
    <row r="1" spans="1:19">
      <c r="A1" s="15" t="s">
        <v>0</v>
      </c>
      <c r="B1" s="12" t="s">
        <v>527</v>
      </c>
      <c r="C1" s="12" t="s">
        <v>528</v>
      </c>
      <c r="D1" s="12" t="s">
        <v>529</v>
      </c>
      <c r="E1" s="12" t="s">
        <v>560</v>
      </c>
      <c r="F1" s="12" t="s">
        <v>561</v>
      </c>
      <c r="G1" s="12" t="s">
        <v>562</v>
      </c>
      <c r="H1" s="12" t="s">
        <v>565</v>
      </c>
      <c r="I1" s="12" t="s">
        <v>566</v>
      </c>
      <c r="J1" s="12" t="s">
        <v>567</v>
      </c>
      <c r="K1" s="14" t="s">
        <v>574</v>
      </c>
      <c r="L1" s="14" t="s">
        <v>575</v>
      </c>
      <c r="M1" s="20" t="s">
        <v>576</v>
      </c>
      <c r="N1" s="12" t="s">
        <v>579</v>
      </c>
      <c r="O1" s="12" t="s">
        <v>580</v>
      </c>
      <c r="P1" s="12" t="s">
        <v>581</v>
      </c>
      <c r="Q1" s="12" t="s">
        <v>585</v>
      </c>
      <c r="R1" s="12" t="s">
        <v>586</v>
      </c>
      <c r="S1" s="12" t="s">
        <v>587</v>
      </c>
    </row>
    <row r="2" spans="1:19">
      <c r="A2" s="16" t="s">
        <v>530</v>
      </c>
      <c r="B2" s="3" t="s">
        <v>64</v>
      </c>
      <c r="C2" s="3" t="s">
        <v>41</v>
      </c>
      <c r="D2" s="3" t="s">
        <v>41</v>
      </c>
      <c r="E2" s="3" t="s">
        <v>5</v>
      </c>
      <c r="F2" s="3" t="s">
        <v>5</v>
      </c>
      <c r="G2" s="3" t="s">
        <v>5</v>
      </c>
      <c r="H2" s="3" t="s">
        <v>41</v>
      </c>
      <c r="I2" s="3" t="s">
        <v>568</v>
      </c>
      <c r="J2" s="3" t="s">
        <v>5</v>
      </c>
      <c r="K2" s="2" t="s">
        <v>5</v>
      </c>
      <c r="L2" s="2" t="s">
        <v>5</v>
      </c>
      <c r="M2" s="21" t="s">
        <v>5</v>
      </c>
      <c r="N2" s="3" t="s">
        <v>568</v>
      </c>
      <c r="O2" s="3" t="s">
        <v>5</v>
      </c>
      <c r="P2" s="3" t="s">
        <v>5</v>
      </c>
      <c r="Q2" s="3" t="s">
        <v>588</v>
      </c>
      <c r="R2" s="3" t="s">
        <v>41</v>
      </c>
      <c r="S2" s="3" t="s">
        <v>5</v>
      </c>
    </row>
    <row r="3" spans="1:19">
      <c r="A3" s="16" t="s">
        <v>531</v>
      </c>
      <c r="B3" s="3" t="s">
        <v>532</v>
      </c>
      <c r="C3" s="3" t="s">
        <v>533</v>
      </c>
      <c r="D3" s="3" t="s">
        <v>534</v>
      </c>
      <c r="E3" s="3" t="s">
        <v>5</v>
      </c>
      <c r="F3" s="3" t="s">
        <v>5</v>
      </c>
      <c r="G3" s="3" t="s">
        <v>5</v>
      </c>
      <c r="H3" s="3" t="s">
        <v>569</v>
      </c>
      <c r="I3" s="3" t="s">
        <v>5</v>
      </c>
      <c r="J3" s="3" t="s">
        <v>5</v>
      </c>
      <c r="K3" s="2" t="s">
        <v>5</v>
      </c>
      <c r="L3" s="2" t="s">
        <v>5</v>
      </c>
      <c r="M3" s="21" t="s">
        <v>5</v>
      </c>
      <c r="N3" s="3" t="s">
        <v>5</v>
      </c>
      <c r="O3" s="3" t="s">
        <v>5</v>
      </c>
      <c r="P3" s="3" t="s">
        <v>582</v>
      </c>
      <c r="Q3" s="3" t="s">
        <v>5</v>
      </c>
      <c r="R3" s="3" t="s">
        <v>5</v>
      </c>
      <c r="S3" s="3" t="s">
        <v>589</v>
      </c>
    </row>
    <row r="4" spans="1:19">
      <c r="A4" s="16" t="s">
        <v>535</v>
      </c>
      <c r="B4" s="3" t="s">
        <v>532</v>
      </c>
      <c r="C4" s="3" t="s">
        <v>533</v>
      </c>
      <c r="D4" s="3" t="s">
        <v>536</v>
      </c>
      <c r="E4" s="3" t="s">
        <v>5</v>
      </c>
      <c r="F4" s="3" t="s">
        <v>5</v>
      </c>
      <c r="G4" s="3" t="s">
        <v>5</v>
      </c>
      <c r="H4" s="3" t="s">
        <v>569</v>
      </c>
      <c r="I4" s="3" t="s">
        <v>5</v>
      </c>
      <c r="J4" s="3" t="s">
        <v>5</v>
      </c>
      <c r="K4" s="2" t="s">
        <v>5</v>
      </c>
      <c r="L4" s="2" t="s">
        <v>5</v>
      </c>
      <c r="M4" s="21" t="s">
        <v>5</v>
      </c>
      <c r="N4" s="3" t="s">
        <v>5</v>
      </c>
      <c r="O4" s="3" t="s">
        <v>5</v>
      </c>
      <c r="P4" s="3" t="s">
        <v>582</v>
      </c>
      <c r="Q4" s="3" t="s">
        <v>5</v>
      </c>
      <c r="R4" s="3" t="s">
        <v>5</v>
      </c>
      <c r="S4" s="3" t="s">
        <v>589</v>
      </c>
    </row>
    <row r="5" spans="1:19">
      <c r="A5" s="16" t="s">
        <v>537</v>
      </c>
      <c r="B5" s="3" t="s">
        <v>41</v>
      </c>
      <c r="C5" s="3" t="s">
        <v>538</v>
      </c>
      <c r="D5" s="3" t="s">
        <v>539</v>
      </c>
      <c r="E5" s="3" t="s">
        <v>5</v>
      </c>
      <c r="F5" s="3" t="s">
        <v>5</v>
      </c>
      <c r="G5" s="3" t="s">
        <v>5</v>
      </c>
      <c r="H5" s="3" t="s">
        <v>538</v>
      </c>
      <c r="I5" s="3" t="s">
        <v>5</v>
      </c>
      <c r="J5" s="3" t="s">
        <v>5</v>
      </c>
      <c r="K5" s="2" t="s">
        <v>5</v>
      </c>
      <c r="L5" s="2" t="s">
        <v>41</v>
      </c>
      <c r="M5" s="21" t="s">
        <v>5</v>
      </c>
      <c r="N5" s="3" t="s">
        <v>538</v>
      </c>
      <c r="O5" s="3" t="s">
        <v>538</v>
      </c>
      <c r="P5" s="3" t="s">
        <v>538</v>
      </c>
      <c r="Q5" s="3" t="s">
        <v>5</v>
      </c>
      <c r="R5" s="3" t="s">
        <v>41</v>
      </c>
      <c r="S5" s="3" t="s">
        <v>41</v>
      </c>
    </row>
    <row r="6" spans="1:19">
      <c r="A6" s="16" t="s">
        <v>540</v>
      </c>
      <c r="B6" s="3" t="s">
        <v>41</v>
      </c>
      <c r="C6" s="3" t="s">
        <v>5</v>
      </c>
      <c r="D6" s="3" t="s">
        <v>541</v>
      </c>
      <c r="E6" s="3" t="s">
        <v>41</v>
      </c>
      <c r="F6" s="3" t="s">
        <v>5</v>
      </c>
      <c r="G6" s="3" t="s">
        <v>5</v>
      </c>
      <c r="H6" s="3" t="s">
        <v>41</v>
      </c>
      <c r="I6" s="3" t="s">
        <v>5</v>
      </c>
      <c r="J6" s="3" t="s">
        <v>41</v>
      </c>
      <c r="K6" s="2" t="s">
        <v>5</v>
      </c>
      <c r="L6" s="2" t="s">
        <v>41</v>
      </c>
      <c r="M6" s="21" t="s">
        <v>5</v>
      </c>
      <c r="N6" s="3" t="s">
        <v>41</v>
      </c>
      <c r="O6" s="3" t="s">
        <v>538</v>
      </c>
      <c r="P6" s="3" t="s">
        <v>538</v>
      </c>
      <c r="Q6" s="3" t="s">
        <v>5</v>
      </c>
      <c r="R6" s="3" t="s">
        <v>41</v>
      </c>
      <c r="S6" s="3" t="s">
        <v>41</v>
      </c>
    </row>
    <row r="7" spans="1:19">
      <c r="A7" s="16" t="s">
        <v>542</v>
      </c>
      <c r="B7" s="3" t="s">
        <v>41</v>
      </c>
      <c r="C7" s="3" t="s">
        <v>41</v>
      </c>
      <c r="D7" s="3" t="s">
        <v>41</v>
      </c>
      <c r="E7" s="3" t="s">
        <v>41</v>
      </c>
      <c r="F7" s="3" t="s">
        <v>41</v>
      </c>
      <c r="G7" s="3" t="s">
        <v>41</v>
      </c>
      <c r="H7" s="3" t="s">
        <v>41</v>
      </c>
      <c r="I7" s="3" t="s">
        <v>41</v>
      </c>
      <c r="J7" s="3" t="s">
        <v>41</v>
      </c>
      <c r="K7" s="2" t="s">
        <v>41</v>
      </c>
      <c r="L7" s="2" t="s">
        <v>41</v>
      </c>
      <c r="M7" s="21" t="s">
        <v>41</v>
      </c>
      <c r="N7" s="3" t="s">
        <v>41</v>
      </c>
      <c r="O7" s="3" t="s">
        <v>41</v>
      </c>
      <c r="P7" s="3" t="s">
        <v>41</v>
      </c>
      <c r="Q7" s="3" t="s">
        <v>41</v>
      </c>
      <c r="R7" s="3" t="s">
        <v>41</v>
      </c>
      <c r="S7" s="3" t="s">
        <v>41</v>
      </c>
    </row>
    <row r="8" spans="1:19">
      <c r="A8" s="16" t="s">
        <v>543</v>
      </c>
      <c r="B8" s="3" t="s">
        <v>5</v>
      </c>
      <c r="C8" s="3" t="s">
        <v>5</v>
      </c>
      <c r="D8" s="3" t="s">
        <v>5</v>
      </c>
      <c r="E8" s="3" t="s">
        <v>5</v>
      </c>
      <c r="F8" s="3" t="s">
        <v>5</v>
      </c>
      <c r="G8" s="3" t="s">
        <v>5</v>
      </c>
      <c r="H8" s="3" t="s">
        <v>5</v>
      </c>
      <c r="I8" s="3" t="s">
        <v>5</v>
      </c>
      <c r="J8" s="3" t="s">
        <v>5</v>
      </c>
      <c r="K8" s="2" t="s">
        <v>5</v>
      </c>
      <c r="L8" s="2" t="s">
        <v>5</v>
      </c>
      <c r="M8" s="21" t="s">
        <v>5</v>
      </c>
      <c r="N8" s="3" t="s">
        <v>5</v>
      </c>
      <c r="O8" s="3" t="s">
        <v>5</v>
      </c>
      <c r="P8" s="3" t="s">
        <v>5</v>
      </c>
      <c r="Q8" s="3" t="s">
        <v>5</v>
      </c>
      <c r="R8" s="3" t="s">
        <v>5</v>
      </c>
      <c r="S8" s="3" t="s">
        <v>5</v>
      </c>
    </row>
    <row r="9" spans="1:19">
      <c r="A9" s="16" t="s">
        <v>544</v>
      </c>
      <c r="B9" s="3" t="s">
        <v>545</v>
      </c>
      <c r="C9" s="3" t="s">
        <v>546</v>
      </c>
      <c r="D9" s="3" t="s">
        <v>547</v>
      </c>
      <c r="E9" s="3" t="s">
        <v>546</v>
      </c>
      <c r="F9" s="3" t="s">
        <v>563</v>
      </c>
      <c r="G9" s="3" t="s">
        <v>545</v>
      </c>
      <c r="H9" s="3" t="s">
        <v>570</v>
      </c>
      <c r="I9" s="3" t="s">
        <v>546</v>
      </c>
      <c r="J9" s="3" t="s">
        <v>570</v>
      </c>
      <c r="K9" s="2" t="s">
        <v>577</v>
      </c>
      <c r="L9" s="2" t="s">
        <v>545</v>
      </c>
      <c r="M9" s="21" t="s">
        <v>570</v>
      </c>
      <c r="N9" s="3" t="s">
        <v>570</v>
      </c>
      <c r="O9" s="3" t="s">
        <v>546</v>
      </c>
      <c r="P9" s="3" t="s">
        <v>583</v>
      </c>
      <c r="Q9" s="3" t="s">
        <v>570</v>
      </c>
      <c r="R9" s="3" t="s">
        <v>546</v>
      </c>
      <c r="S9" s="3" t="s">
        <v>546</v>
      </c>
    </row>
    <row r="10" spans="1:19">
      <c r="A10" s="16" t="s">
        <v>548</v>
      </c>
      <c r="B10" s="3" t="s">
        <v>549</v>
      </c>
      <c r="C10" s="3" t="s">
        <v>550</v>
      </c>
      <c r="D10" s="3" t="s">
        <v>551</v>
      </c>
      <c r="E10" s="3" t="s">
        <v>5</v>
      </c>
      <c r="F10" s="3" t="s">
        <v>5</v>
      </c>
      <c r="G10" s="3" t="s">
        <v>5</v>
      </c>
      <c r="H10" s="3" t="s">
        <v>5</v>
      </c>
      <c r="I10" s="3" t="s">
        <v>5</v>
      </c>
      <c r="J10" s="3" t="s">
        <v>5</v>
      </c>
      <c r="K10" s="2" t="s">
        <v>5</v>
      </c>
      <c r="L10" s="2" t="s">
        <v>5</v>
      </c>
      <c r="M10" s="21" t="s">
        <v>578</v>
      </c>
      <c r="N10" s="3" t="s">
        <v>5</v>
      </c>
      <c r="O10" s="3" t="s">
        <v>584</v>
      </c>
      <c r="P10" s="3" t="s">
        <v>5</v>
      </c>
      <c r="Q10" s="3" t="s">
        <v>5</v>
      </c>
      <c r="R10" s="3" t="s">
        <v>590</v>
      </c>
      <c r="S10" s="3" t="s">
        <v>5</v>
      </c>
    </row>
    <row r="11" spans="1:19">
      <c r="A11" s="16" t="s">
        <v>552</v>
      </c>
      <c r="B11" s="3" t="s">
        <v>553</v>
      </c>
      <c r="C11" s="3" t="s">
        <v>553</v>
      </c>
      <c r="D11" s="3" t="s">
        <v>553</v>
      </c>
      <c r="E11" s="3" t="s">
        <v>553</v>
      </c>
      <c r="F11" s="3" t="s">
        <v>553</v>
      </c>
      <c r="G11" s="3" t="s">
        <v>553</v>
      </c>
      <c r="H11" s="3" t="s">
        <v>571</v>
      </c>
      <c r="I11" s="3" t="s">
        <v>553</v>
      </c>
      <c r="J11" s="3" t="s">
        <v>553</v>
      </c>
      <c r="K11" s="2" t="s">
        <v>553</v>
      </c>
      <c r="L11" s="2" t="s">
        <v>553</v>
      </c>
      <c r="M11" s="21" t="s">
        <v>553</v>
      </c>
      <c r="N11" s="3" t="s">
        <v>553</v>
      </c>
      <c r="O11" s="3" t="s">
        <v>553</v>
      </c>
      <c r="P11" s="3" t="s">
        <v>553</v>
      </c>
      <c r="Q11" s="3" t="s">
        <v>553</v>
      </c>
      <c r="R11" s="3" t="s">
        <v>553</v>
      </c>
      <c r="S11" s="3" t="s">
        <v>553</v>
      </c>
    </row>
    <row r="12" spans="1:19">
      <c r="A12" s="16" t="s">
        <v>554</v>
      </c>
      <c r="B12" s="3" t="s">
        <v>555</v>
      </c>
      <c r="C12" s="3" t="s">
        <v>556</v>
      </c>
      <c r="D12" s="3" t="s">
        <v>557</v>
      </c>
      <c r="E12" s="3" t="s">
        <v>555</v>
      </c>
      <c r="F12" s="3" t="s">
        <v>555</v>
      </c>
      <c r="G12" s="3" t="s">
        <v>555</v>
      </c>
      <c r="H12" s="3" t="s">
        <v>572</v>
      </c>
      <c r="I12" s="3" t="s">
        <v>555</v>
      </c>
      <c r="J12" s="3" t="s">
        <v>555</v>
      </c>
      <c r="K12" s="2" t="s">
        <v>555</v>
      </c>
      <c r="L12" s="2" t="s">
        <v>555</v>
      </c>
      <c r="M12" s="21" t="s">
        <v>555</v>
      </c>
      <c r="N12" s="3" t="s">
        <v>555</v>
      </c>
      <c r="O12" s="3" t="s">
        <v>555</v>
      </c>
      <c r="P12" s="3" t="s">
        <v>555</v>
      </c>
      <c r="Q12" s="3" t="s">
        <v>555</v>
      </c>
      <c r="R12" s="3" t="s">
        <v>572</v>
      </c>
      <c r="S12" s="3" t="s">
        <v>555</v>
      </c>
    </row>
    <row r="13" spans="1:19">
      <c r="A13" s="16" t="s">
        <v>558</v>
      </c>
      <c r="B13" s="3" t="s">
        <v>41</v>
      </c>
      <c r="C13" s="3" t="s">
        <v>41</v>
      </c>
      <c r="D13" s="3" t="s">
        <v>41</v>
      </c>
      <c r="E13" s="3" t="s">
        <v>41</v>
      </c>
      <c r="F13" s="3" t="s">
        <v>564</v>
      </c>
      <c r="G13" s="3" t="s">
        <v>41</v>
      </c>
      <c r="H13" s="3" t="s">
        <v>41</v>
      </c>
      <c r="I13" s="3" t="s">
        <v>573</v>
      </c>
      <c r="J13" s="3" t="s">
        <v>564</v>
      </c>
      <c r="K13" s="2" t="s">
        <v>564</v>
      </c>
      <c r="L13" s="2" t="s">
        <v>41</v>
      </c>
      <c r="M13" s="21" t="s">
        <v>564</v>
      </c>
      <c r="N13" s="3" t="s">
        <v>41</v>
      </c>
      <c r="O13" s="3" t="s">
        <v>41</v>
      </c>
      <c r="P13" s="3" t="s">
        <v>41</v>
      </c>
      <c r="Q13" s="3" t="s">
        <v>41</v>
      </c>
      <c r="R13" s="3" t="s">
        <v>41</v>
      </c>
      <c r="S13" s="3" t="s">
        <v>41</v>
      </c>
    </row>
    <row r="14" spans="1:19">
      <c r="A14" s="16" t="s">
        <v>559</v>
      </c>
      <c r="B14" s="3" t="s">
        <v>5</v>
      </c>
      <c r="C14" s="3" t="s">
        <v>5</v>
      </c>
      <c r="D14" s="3" t="s">
        <v>5</v>
      </c>
      <c r="E14" s="3" t="s">
        <v>5</v>
      </c>
      <c r="F14" s="3" t="s">
        <v>5</v>
      </c>
      <c r="G14" s="3" t="s">
        <v>5</v>
      </c>
      <c r="H14" s="3" t="s">
        <v>5</v>
      </c>
      <c r="I14" s="3" t="s">
        <v>5</v>
      </c>
      <c r="J14" s="3" t="s">
        <v>5</v>
      </c>
      <c r="K14" s="2" t="s">
        <v>5</v>
      </c>
      <c r="L14" s="2" t="s">
        <v>5</v>
      </c>
      <c r="M14" s="21" t="s">
        <v>5</v>
      </c>
      <c r="N14" s="3" t="s">
        <v>5</v>
      </c>
      <c r="O14" s="3" t="s">
        <v>5</v>
      </c>
      <c r="P14" s="3" t="s">
        <v>5</v>
      </c>
      <c r="Q14" s="3" t="s">
        <v>5</v>
      </c>
      <c r="R14" s="3" t="s">
        <v>5</v>
      </c>
      <c r="S14" s="3" t="s">
        <v>591</v>
      </c>
    </row>
    <row r="22" spans="15:17" ht="15.75" thickBot="1"/>
    <row r="23" spans="15:17" ht="15.75" thickBot="1">
      <c r="O23" s="19"/>
      <c r="P23" s="19"/>
      <c r="Q23" s="19"/>
    </row>
    <row r="24" spans="15:17" ht="15.75" thickBot="1">
      <c r="O24" s="19"/>
      <c r="P24" s="19"/>
      <c r="Q24" s="19"/>
    </row>
    <row r="25" spans="15:17" ht="15.75" thickBot="1">
      <c r="O25" s="19"/>
      <c r="P25" s="19"/>
      <c r="Q25" s="19"/>
    </row>
    <row r="26" spans="15:17" ht="15.75" thickBot="1">
      <c r="O26" s="19"/>
      <c r="P26" s="19"/>
      <c r="Q26" s="19"/>
    </row>
    <row r="27" spans="15:17" ht="15.75" thickBot="1">
      <c r="O27" s="19"/>
      <c r="P27" s="19"/>
      <c r="Q27" s="19"/>
    </row>
    <row r="28" spans="15:17" ht="15.75" thickBot="1">
      <c r="O28" s="19"/>
      <c r="P28" s="19"/>
      <c r="Q28" s="19"/>
    </row>
    <row r="29" spans="15:17" ht="15.75" thickBot="1">
      <c r="O29" s="19"/>
      <c r="P29" s="19"/>
      <c r="Q29" s="19"/>
    </row>
    <row r="30" spans="15:17" ht="15.75" thickBot="1">
      <c r="O30" s="19"/>
      <c r="P30" s="19"/>
      <c r="Q30" s="19"/>
    </row>
    <row r="31" spans="15:17" ht="15.75" thickBot="1">
      <c r="O31" s="19"/>
      <c r="P31" s="19"/>
      <c r="Q31" s="19"/>
    </row>
    <row r="32" spans="15:17" ht="15.75" thickBot="1">
      <c r="O32" s="19"/>
      <c r="P32" s="19"/>
      <c r="Q32" s="19"/>
    </row>
    <row r="33" spans="15:17" ht="15.75" thickBot="1">
      <c r="O33" s="19"/>
      <c r="P33" s="19"/>
      <c r="Q33" s="19"/>
    </row>
    <row r="34" spans="15:17" ht="15.75" thickBot="1">
      <c r="O34" s="19"/>
      <c r="P34" s="19"/>
      <c r="Q34" s="19"/>
    </row>
    <row r="35" spans="15:17" ht="15.75" thickBot="1">
      <c r="O35" s="19"/>
      <c r="P35" s="19"/>
      <c r="Q35" s="19"/>
    </row>
    <row r="36" spans="15:17" ht="15.75" thickBot="1">
      <c r="O36" s="19"/>
      <c r="P36" s="19"/>
      <c r="Q36" s="1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DO96"/>
  <sheetViews>
    <sheetView topLeftCell="DC1" zoomScale="90" zoomScaleNormal="90" workbookViewId="0">
      <pane ySplit="795" activePane="bottomLeft"/>
      <selection activeCell="DO1" sqref="DO1:DO1048576"/>
      <selection pane="bottomLeft" activeCell="BO37" sqref="BO37"/>
    </sheetView>
  </sheetViews>
  <sheetFormatPr baseColWidth="10" defaultColWidth="18.85546875" defaultRowHeight="15"/>
  <cols>
    <col min="1" max="1" width="23.5703125" bestFit="1" customWidth="1"/>
    <col min="2" max="2" width="17.7109375" bestFit="1" customWidth="1"/>
    <col min="3" max="3" width="7.28515625" bestFit="1" customWidth="1"/>
    <col min="4" max="4" width="45.5703125" bestFit="1" customWidth="1"/>
    <col min="5" max="5" width="5.140625" customWidth="1"/>
    <col min="6" max="6" width="52.140625" bestFit="1" customWidth="1"/>
    <col min="7" max="7" width="4.85546875" customWidth="1"/>
    <col min="8" max="8" width="24.7109375" bestFit="1" customWidth="1"/>
    <col min="9" max="9" width="17.7109375" bestFit="1" customWidth="1"/>
    <col min="10" max="10" width="7.28515625" bestFit="1" customWidth="1"/>
    <col min="11" max="11" width="47.5703125" bestFit="1" customWidth="1"/>
    <col min="12" max="12" width="4.28515625" customWidth="1"/>
    <col min="13" max="13" width="21.7109375" bestFit="1" customWidth="1"/>
    <col min="14" max="14" width="17.7109375" bestFit="1" customWidth="1"/>
    <col min="15" max="15" width="7.28515625" bestFit="1" customWidth="1"/>
    <col min="16" max="16" width="36.140625" bestFit="1" customWidth="1"/>
    <col min="17" max="17" width="5.5703125" customWidth="1"/>
    <col min="18" max="18" width="51.7109375" bestFit="1" customWidth="1"/>
    <col min="19" max="19" width="5.28515625" customWidth="1"/>
    <col min="20" max="20" width="61.7109375" bestFit="1" customWidth="1"/>
    <col min="21" max="21" width="5" customWidth="1"/>
    <col min="22" max="22" width="57.5703125" bestFit="1" customWidth="1"/>
    <col min="23" max="23" width="5.85546875" customWidth="1"/>
    <col min="24" max="24" width="22.5703125" bestFit="1" customWidth="1"/>
    <col min="25" max="25" width="20" bestFit="1" customWidth="1"/>
    <col min="26" max="26" width="7.28515625" bestFit="1" customWidth="1"/>
    <col min="27" max="27" width="59.42578125" bestFit="1" customWidth="1"/>
    <col min="28" max="28" width="6.28515625" customWidth="1"/>
    <col min="29" max="29" width="21.28515625" bestFit="1" customWidth="1"/>
    <col min="30" max="30" width="17.7109375" bestFit="1" customWidth="1"/>
    <col min="31" max="31" width="7.28515625" bestFit="1" customWidth="1"/>
    <col min="32" max="32" width="38.5703125" bestFit="1" customWidth="1"/>
    <col min="33" max="33" width="5.140625" customWidth="1"/>
    <col min="34" max="34" width="52.140625" bestFit="1" customWidth="1"/>
    <col min="35" max="35" width="3.85546875" customWidth="1"/>
    <col min="36" max="36" width="24.42578125" bestFit="1" customWidth="1"/>
    <col min="37" max="37" width="10.42578125" bestFit="1" customWidth="1"/>
    <col min="38" max="38" width="7.140625" bestFit="1" customWidth="1"/>
    <col min="39" max="39" width="48.85546875" bestFit="1" customWidth="1"/>
    <col min="40" max="40" width="17.28515625" customWidth="1"/>
    <col min="41" max="41" width="25.42578125" bestFit="1" customWidth="1"/>
    <col min="42" max="42" width="17.85546875" bestFit="1" customWidth="1"/>
    <col min="43" max="43" width="7.5703125" bestFit="1" customWidth="1"/>
    <col min="44" max="44" width="56" bestFit="1" customWidth="1"/>
    <col min="45" max="45" width="4.85546875" customWidth="1"/>
    <col min="46" max="46" width="22.85546875" bestFit="1" customWidth="1"/>
    <col min="47" max="47" width="20" bestFit="1" customWidth="1"/>
    <col min="48" max="48" width="7.28515625" bestFit="1" customWidth="1"/>
    <col min="49" max="49" width="45.140625" customWidth="1"/>
    <col min="50" max="50" width="4.140625" customWidth="1"/>
    <col min="51" max="51" width="26" bestFit="1" customWidth="1"/>
    <col min="54" max="54" width="50.42578125" bestFit="1" customWidth="1"/>
    <col min="55" max="55" width="4.5703125" customWidth="1"/>
    <col min="56" max="56" width="21.85546875" bestFit="1" customWidth="1"/>
    <col min="57" max="57" width="10.42578125" bestFit="1" customWidth="1"/>
    <col min="58" max="58" width="7.28515625" bestFit="1" customWidth="1"/>
    <col min="59" max="59" width="43" bestFit="1" customWidth="1"/>
    <col min="60" max="60" width="5.85546875" customWidth="1"/>
    <col min="61" max="61" width="27.5703125" bestFit="1" customWidth="1"/>
    <col min="64" max="64" width="54.28515625" bestFit="1" customWidth="1"/>
    <col min="65" max="65" width="6" customWidth="1"/>
    <col min="66" max="66" width="24.5703125" bestFit="1" customWidth="1"/>
    <col min="67" max="67" width="17.85546875" bestFit="1" customWidth="1"/>
    <col min="68" max="68" width="7.5703125" bestFit="1" customWidth="1"/>
    <col min="69" max="69" width="49.85546875" bestFit="1" customWidth="1"/>
    <col min="70" max="70" width="7" customWidth="1"/>
    <col min="71" max="71" width="26.7109375" bestFit="1" customWidth="1"/>
    <col min="74" max="74" width="57.5703125" bestFit="1" customWidth="1"/>
    <col min="75" max="75" width="7.7109375" customWidth="1"/>
    <col min="76" max="76" width="21.85546875" bestFit="1" customWidth="1"/>
    <col min="79" max="79" width="47.140625" bestFit="1" customWidth="1"/>
    <col min="81" max="81" width="25" bestFit="1" customWidth="1"/>
    <col min="84" max="84" width="50" bestFit="1" customWidth="1"/>
    <col min="85" max="85" width="5.42578125" customWidth="1"/>
    <col min="86" max="86" width="28.28515625" bestFit="1" customWidth="1"/>
    <col min="87" max="87" width="21" bestFit="1" customWidth="1"/>
    <col min="89" max="89" width="49.85546875" bestFit="1" customWidth="1"/>
    <col min="90" max="90" width="6.7109375" customWidth="1"/>
    <col min="91" max="91" width="23.5703125" bestFit="1" customWidth="1"/>
    <col min="94" max="94" width="47.140625" bestFit="1" customWidth="1"/>
    <col min="96" max="96" width="25.28515625" bestFit="1" customWidth="1"/>
    <col min="97" max="97" width="17.7109375" bestFit="1" customWidth="1"/>
    <col min="98" max="98" width="7.28515625" bestFit="1" customWidth="1"/>
    <col min="99" max="99" width="48.140625" bestFit="1" customWidth="1"/>
    <col min="101" max="101" width="25" bestFit="1" customWidth="1"/>
    <col min="104" max="104" width="53.140625" bestFit="1" customWidth="1"/>
    <col min="105" max="105" width="5" customWidth="1"/>
    <col min="106" max="106" width="26.42578125" bestFit="1" customWidth="1"/>
    <col min="109" max="109" width="52.140625" bestFit="1" customWidth="1"/>
    <col min="110" max="110" width="6.42578125" customWidth="1"/>
    <col min="111" max="111" width="26.42578125" bestFit="1" customWidth="1"/>
    <col min="112" max="112" width="20" bestFit="1" customWidth="1"/>
    <col min="114" max="114" width="48.85546875" hidden="1" customWidth="1"/>
    <col min="115" max="115" width="4.42578125" customWidth="1"/>
    <col min="116" max="116" width="24.5703125" bestFit="1" customWidth="1"/>
    <col min="117" max="117" width="20" bestFit="1" customWidth="1"/>
    <col min="119" max="119" width="48.85546875" hidden="1" customWidth="1"/>
  </cols>
  <sheetData>
    <row r="1" spans="1:119">
      <c r="A1" s="46" t="s">
        <v>595</v>
      </c>
      <c r="B1" s="47"/>
      <c r="C1" s="47"/>
      <c r="D1" s="47"/>
      <c r="F1" s="52" t="s">
        <v>632</v>
      </c>
      <c r="H1" s="46" t="s">
        <v>650</v>
      </c>
      <c r="I1" s="65"/>
      <c r="J1" s="65"/>
      <c r="K1" s="65"/>
      <c r="M1" s="72" t="s">
        <v>665</v>
      </c>
      <c r="N1" s="73"/>
      <c r="O1" s="73"/>
      <c r="P1" s="73"/>
      <c r="R1" s="46" t="s">
        <v>676</v>
      </c>
      <c r="T1" s="46" t="s">
        <v>688</v>
      </c>
      <c r="V1" s="46" t="s">
        <v>699</v>
      </c>
      <c r="X1" s="47" t="s">
        <v>713</v>
      </c>
      <c r="Y1" s="47"/>
      <c r="Z1" s="47"/>
      <c r="AA1" s="47"/>
      <c r="AC1" s="46" t="s">
        <v>752</v>
      </c>
      <c r="AD1" s="47"/>
      <c r="AE1" s="47"/>
      <c r="AF1" s="47"/>
      <c r="AH1" s="46" t="s">
        <v>770</v>
      </c>
      <c r="AJ1" s="47" t="s">
        <v>779</v>
      </c>
      <c r="AK1" s="65"/>
      <c r="AL1" s="65"/>
      <c r="AM1" s="65"/>
      <c r="AN1" s="168"/>
      <c r="AO1" s="47" t="s">
        <v>2081</v>
      </c>
      <c r="AP1" s="47"/>
      <c r="AQ1" s="47"/>
      <c r="AR1" s="47"/>
      <c r="AS1" s="170"/>
      <c r="AT1" s="46" t="s">
        <v>826</v>
      </c>
      <c r="AU1" s="47"/>
      <c r="AV1" s="47"/>
      <c r="AW1" s="47"/>
      <c r="AY1" s="47" t="s">
        <v>856</v>
      </c>
      <c r="AZ1" s="47"/>
      <c r="BA1" s="47"/>
      <c r="BB1" s="47"/>
      <c r="BD1" s="47" t="s">
        <v>867</v>
      </c>
      <c r="BE1" s="47"/>
      <c r="BF1" s="47"/>
      <c r="BG1" s="47"/>
      <c r="BI1" s="46" t="s">
        <v>889</v>
      </c>
      <c r="BJ1" s="47"/>
      <c r="BK1" s="47"/>
      <c r="BL1" s="47"/>
      <c r="BN1" s="46" t="s">
        <v>2075</v>
      </c>
      <c r="BO1" s="47"/>
      <c r="BP1" s="47"/>
      <c r="BQ1" s="47"/>
      <c r="BS1" s="46" t="s">
        <v>905</v>
      </c>
      <c r="BT1" s="47"/>
      <c r="BU1" s="47"/>
      <c r="BV1" s="47"/>
      <c r="BX1" s="46" t="s">
        <v>925</v>
      </c>
      <c r="BY1" s="47"/>
      <c r="BZ1" s="47"/>
      <c r="CA1" s="47"/>
      <c r="CC1" s="46" t="s">
        <v>936</v>
      </c>
      <c r="CD1" s="47"/>
      <c r="CE1" s="47"/>
      <c r="CF1" s="47"/>
      <c r="CH1" s="86" t="s">
        <v>953</v>
      </c>
      <c r="CI1" s="47"/>
      <c r="CJ1" s="47"/>
      <c r="CK1" s="47"/>
      <c r="CM1" s="46" t="s">
        <v>961</v>
      </c>
      <c r="CN1" s="47"/>
      <c r="CO1" s="47"/>
      <c r="CP1" s="47"/>
      <c r="CR1" s="46" t="s">
        <v>970</v>
      </c>
      <c r="CS1" s="47"/>
      <c r="CT1" s="47"/>
      <c r="CU1" s="47"/>
      <c r="CW1" s="46" t="s">
        <v>978</v>
      </c>
      <c r="CX1" s="47"/>
      <c r="CY1" s="47"/>
      <c r="CZ1" s="47"/>
      <c r="DB1" s="46" t="s">
        <v>995</v>
      </c>
      <c r="DC1" s="47"/>
      <c r="DD1" s="47"/>
      <c r="DE1" s="47"/>
      <c r="DG1" s="46" t="s">
        <v>1012</v>
      </c>
      <c r="DH1" s="65"/>
      <c r="DI1" s="65"/>
      <c r="DJ1" s="65"/>
      <c r="DL1" s="46" t="s">
        <v>1032</v>
      </c>
      <c r="DM1" s="47"/>
      <c r="DN1" s="47"/>
      <c r="DO1" s="47"/>
    </row>
    <row r="2" spans="1:119">
      <c r="A2" s="48"/>
      <c r="B2" s="48" t="s">
        <v>594</v>
      </c>
      <c r="C2" s="48" t="s">
        <v>596</v>
      </c>
      <c r="D2" s="48" t="s">
        <v>597</v>
      </c>
      <c r="F2" s="52" t="s">
        <v>633</v>
      </c>
      <c r="H2" s="66"/>
      <c r="I2" s="66" t="s">
        <v>594</v>
      </c>
      <c r="J2" s="66" t="s">
        <v>596</v>
      </c>
      <c r="K2" s="66" t="s">
        <v>597</v>
      </c>
      <c r="M2" s="74"/>
      <c r="N2" s="74" t="s">
        <v>594</v>
      </c>
      <c r="O2" s="74" t="s">
        <v>596</v>
      </c>
      <c r="P2" s="74" t="s">
        <v>597</v>
      </c>
      <c r="R2" s="46" t="s">
        <v>677</v>
      </c>
      <c r="T2" s="46" t="s">
        <v>689</v>
      </c>
      <c r="V2" s="46" t="s">
        <v>700</v>
      </c>
      <c r="X2" s="47"/>
      <c r="Y2" s="47"/>
      <c r="Z2" s="47"/>
      <c r="AA2" s="47"/>
      <c r="AC2" s="48"/>
      <c r="AD2" s="48" t="s">
        <v>594</v>
      </c>
      <c r="AE2" s="48" t="s">
        <v>596</v>
      </c>
      <c r="AF2" s="48" t="s">
        <v>597</v>
      </c>
      <c r="AH2" s="46" t="s">
        <v>771</v>
      </c>
      <c r="AJ2" s="65"/>
      <c r="AK2" s="65" t="s">
        <v>594</v>
      </c>
      <c r="AL2" s="65" t="s">
        <v>596</v>
      </c>
      <c r="AM2" s="65" t="s">
        <v>597</v>
      </c>
      <c r="AN2" s="168"/>
      <c r="AO2" s="48"/>
      <c r="AP2" s="47" t="s">
        <v>594</v>
      </c>
      <c r="AQ2" s="47" t="s">
        <v>596</v>
      </c>
      <c r="AR2" s="47" t="s">
        <v>597</v>
      </c>
      <c r="AS2" s="170"/>
      <c r="AT2" s="48"/>
      <c r="AU2" s="48" t="s">
        <v>594</v>
      </c>
      <c r="AV2" s="48" t="s">
        <v>596</v>
      </c>
      <c r="AW2" s="48" t="s">
        <v>597</v>
      </c>
      <c r="AY2" s="47"/>
      <c r="AZ2" s="47"/>
      <c r="BA2" s="47"/>
      <c r="BB2" s="47"/>
      <c r="BD2" s="47"/>
      <c r="BE2" s="47"/>
      <c r="BF2" s="47"/>
      <c r="BG2" s="47"/>
      <c r="BI2" s="48"/>
      <c r="BJ2" s="48" t="s">
        <v>594</v>
      </c>
      <c r="BK2" s="48" t="s">
        <v>596</v>
      </c>
      <c r="BL2" s="48" t="s">
        <v>597</v>
      </c>
      <c r="BN2" s="48"/>
      <c r="BO2" s="156" t="s">
        <v>594</v>
      </c>
      <c r="BP2" s="156" t="s">
        <v>596</v>
      </c>
      <c r="BQ2" s="156" t="s">
        <v>597</v>
      </c>
      <c r="BS2" s="48"/>
      <c r="BT2" s="48" t="s">
        <v>594</v>
      </c>
      <c r="BU2" s="48" t="s">
        <v>596</v>
      </c>
      <c r="BV2" s="48" t="s">
        <v>597</v>
      </c>
      <c r="BX2" s="48"/>
      <c r="BY2" s="48" t="s">
        <v>594</v>
      </c>
      <c r="BZ2" s="48" t="s">
        <v>596</v>
      </c>
      <c r="CA2" s="48" t="s">
        <v>597</v>
      </c>
      <c r="CC2" s="48"/>
      <c r="CD2" s="48" t="s">
        <v>594</v>
      </c>
      <c r="CE2" s="48" t="s">
        <v>596</v>
      </c>
      <c r="CF2" s="48" t="s">
        <v>597</v>
      </c>
      <c r="CH2" s="87"/>
      <c r="CI2" s="87" t="s">
        <v>594</v>
      </c>
      <c r="CJ2" s="87" t="s">
        <v>596</v>
      </c>
      <c r="CK2" s="87" t="s">
        <v>597</v>
      </c>
      <c r="CM2" s="48"/>
      <c r="CN2" s="48" t="s">
        <v>594</v>
      </c>
      <c r="CO2" s="48" t="s">
        <v>596</v>
      </c>
      <c r="CP2" s="48" t="s">
        <v>597</v>
      </c>
      <c r="CR2" s="48"/>
      <c r="CS2" s="48" t="s">
        <v>594</v>
      </c>
      <c r="CT2" s="48" t="s">
        <v>596</v>
      </c>
      <c r="CU2" s="48" t="s">
        <v>597</v>
      </c>
      <c r="CW2" s="48"/>
      <c r="CX2" s="48" t="s">
        <v>594</v>
      </c>
      <c r="CY2" s="48" t="s">
        <v>596</v>
      </c>
      <c r="CZ2" s="48" t="s">
        <v>597</v>
      </c>
      <c r="DB2" s="48"/>
      <c r="DC2" s="48" t="s">
        <v>594</v>
      </c>
      <c r="DD2" s="48" t="s">
        <v>596</v>
      </c>
      <c r="DE2" s="48" t="s">
        <v>597</v>
      </c>
      <c r="DG2" s="66"/>
      <c r="DH2" s="66" t="s">
        <v>594</v>
      </c>
      <c r="DI2" s="66" t="s">
        <v>596</v>
      </c>
      <c r="DJ2" s="66" t="s">
        <v>597</v>
      </c>
      <c r="DL2" s="48"/>
      <c r="DM2" s="48" t="s">
        <v>594</v>
      </c>
      <c r="DN2" s="48" t="s">
        <v>596</v>
      </c>
      <c r="DO2" s="48" t="s">
        <v>597</v>
      </c>
    </row>
    <row r="3" spans="1:119">
      <c r="A3" s="153"/>
      <c r="B3" s="153" t="s">
        <v>598</v>
      </c>
      <c r="C3" s="96" t="s">
        <v>599</v>
      </c>
      <c r="D3" s="42" t="s">
        <v>600</v>
      </c>
      <c r="H3" s="154"/>
      <c r="I3" s="154" t="s">
        <v>614</v>
      </c>
      <c r="J3" s="95" t="s">
        <v>599</v>
      </c>
      <c r="K3" s="61"/>
      <c r="M3" s="155"/>
      <c r="N3" s="155" t="s">
        <v>614</v>
      </c>
      <c r="O3" s="97" t="s">
        <v>599</v>
      </c>
      <c r="P3" s="70"/>
      <c r="X3" s="48"/>
      <c r="Y3" s="48" t="s">
        <v>594</v>
      </c>
      <c r="Z3" s="48" t="s">
        <v>596</v>
      </c>
      <c r="AA3" s="48" t="s">
        <v>597</v>
      </c>
      <c r="AC3" s="153"/>
      <c r="AD3" s="153" t="s">
        <v>753</v>
      </c>
      <c r="AE3" s="96" t="s">
        <v>599</v>
      </c>
      <c r="AF3" s="42"/>
      <c r="AJ3" s="154"/>
      <c r="AK3" s="154" t="s">
        <v>106</v>
      </c>
      <c r="AL3" s="95" t="s">
        <v>599</v>
      </c>
      <c r="AM3" s="173" t="s">
        <v>724</v>
      </c>
      <c r="AN3" s="169"/>
      <c r="AO3" s="178"/>
      <c r="AP3" s="179" t="s">
        <v>614</v>
      </c>
      <c r="AQ3" s="166" t="s">
        <v>599</v>
      </c>
      <c r="AR3" s="176"/>
      <c r="AS3" s="89"/>
      <c r="AT3" s="153"/>
      <c r="AU3" s="153" t="s">
        <v>753</v>
      </c>
      <c r="AV3" s="96" t="s">
        <v>599</v>
      </c>
      <c r="AW3" s="42"/>
      <c r="AY3" s="48"/>
      <c r="AZ3" s="48" t="s">
        <v>594</v>
      </c>
      <c r="BA3" s="48" t="s">
        <v>596</v>
      </c>
      <c r="BB3" s="48" t="s">
        <v>597</v>
      </c>
      <c r="BD3" s="48"/>
      <c r="BE3" s="48" t="s">
        <v>594</v>
      </c>
      <c r="BF3" s="48" t="s">
        <v>596</v>
      </c>
      <c r="BG3" s="48" t="s">
        <v>597</v>
      </c>
      <c r="BI3" s="153"/>
      <c r="BJ3" s="153" t="s">
        <v>3</v>
      </c>
      <c r="BK3" s="50" t="s">
        <v>602</v>
      </c>
      <c r="BL3" s="43" t="s">
        <v>603</v>
      </c>
      <c r="BN3" s="153"/>
      <c r="BO3" s="182" t="s">
        <v>614</v>
      </c>
      <c r="BP3" s="166" t="s">
        <v>599</v>
      </c>
      <c r="BQ3" s="158"/>
      <c r="BS3" s="153"/>
      <c r="BT3" s="153" t="s">
        <v>753</v>
      </c>
      <c r="BU3" s="50" t="s">
        <v>602</v>
      </c>
      <c r="BV3" s="42"/>
      <c r="BX3" s="153"/>
      <c r="BY3" s="153" t="s">
        <v>753</v>
      </c>
      <c r="BZ3" s="96" t="s">
        <v>599</v>
      </c>
      <c r="CA3" s="42"/>
      <c r="CC3" s="153"/>
      <c r="CD3" s="153" t="s">
        <v>937</v>
      </c>
      <c r="CE3" s="96" t="s">
        <v>599</v>
      </c>
      <c r="CF3" s="42"/>
      <c r="CH3" s="185"/>
      <c r="CI3" s="185" t="s">
        <v>753</v>
      </c>
      <c r="CJ3" s="98" t="s">
        <v>599</v>
      </c>
      <c r="CK3" s="84"/>
      <c r="CM3" s="153"/>
      <c r="CN3" s="153" t="s">
        <v>2</v>
      </c>
      <c r="CO3" s="96" t="s">
        <v>599</v>
      </c>
      <c r="CP3" s="42"/>
      <c r="CR3" s="153"/>
      <c r="CS3" s="153" t="s">
        <v>651</v>
      </c>
      <c r="CT3" s="96" t="s">
        <v>599</v>
      </c>
      <c r="CU3" s="42"/>
      <c r="CW3" s="153"/>
      <c r="CX3" s="153" t="s">
        <v>753</v>
      </c>
      <c r="CY3" s="96" t="s">
        <v>599</v>
      </c>
      <c r="CZ3" s="42"/>
      <c r="DB3" s="153"/>
      <c r="DC3" s="153" t="s">
        <v>753</v>
      </c>
      <c r="DD3" s="96" t="s">
        <v>599</v>
      </c>
      <c r="DE3" s="42"/>
      <c r="DG3" s="154"/>
      <c r="DH3" s="154" t="s">
        <v>753</v>
      </c>
      <c r="DI3" s="77" t="s">
        <v>602</v>
      </c>
      <c r="DJ3" s="63" t="s">
        <v>1013</v>
      </c>
      <c r="DL3" s="153"/>
      <c r="DM3" s="153" t="s">
        <v>753</v>
      </c>
      <c r="DN3" s="50" t="s">
        <v>602</v>
      </c>
      <c r="DO3" s="43" t="s">
        <v>1013</v>
      </c>
    </row>
    <row r="4" spans="1:119">
      <c r="A4" s="153"/>
      <c r="B4" s="153" t="s">
        <v>601</v>
      </c>
      <c r="C4" s="50" t="s">
        <v>602</v>
      </c>
      <c r="D4" s="41"/>
      <c r="H4" s="154"/>
      <c r="I4" s="154" t="s">
        <v>651</v>
      </c>
      <c r="J4" s="95" t="s">
        <v>599</v>
      </c>
      <c r="K4" s="62"/>
      <c r="M4" s="155"/>
      <c r="N4" s="155" t="s">
        <v>609</v>
      </c>
      <c r="O4" s="76" t="s">
        <v>602</v>
      </c>
      <c r="P4" s="71" t="s">
        <v>666</v>
      </c>
      <c r="X4" s="153"/>
      <c r="Y4" s="153" t="s">
        <v>714</v>
      </c>
      <c r="Z4" s="96" t="s">
        <v>599</v>
      </c>
      <c r="AA4" s="42"/>
      <c r="AC4" s="153"/>
      <c r="AD4" s="153" t="s">
        <v>754</v>
      </c>
      <c r="AE4" s="96" t="s">
        <v>599</v>
      </c>
      <c r="AF4" s="41"/>
      <c r="AJ4" s="154"/>
      <c r="AK4" s="154" t="s">
        <v>144</v>
      </c>
      <c r="AL4" s="95" t="s">
        <v>599</v>
      </c>
      <c r="AM4" s="174"/>
      <c r="AN4" s="171"/>
      <c r="AO4" s="153"/>
      <c r="AP4" s="179" t="s">
        <v>615</v>
      </c>
      <c r="AQ4" s="166" t="s">
        <v>599</v>
      </c>
      <c r="AR4" s="176"/>
      <c r="AT4" s="153"/>
      <c r="AU4" s="153" t="s">
        <v>714</v>
      </c>
      <c r="AV4" s="96" t="s">
        <v>599</v>
      </c>
      <c r="AW4" s="41"/>
      <c r="AY4" s="153"/>
      <c r="AZ4" s="153" t="s">
        <v>651</v>
      </c>
      <c r="BA4" s="96" t="s">
        <v>599</v>
      </c>
      <c r="BB4" s="42"/>
      <c r="BD4" s="153"/>
      <c r="BE4" s="153" t="s">
        <v>106</v>
      </c>
      <c r="BF4" s="50" t="s">
        <v>602</v>
      </c>
      <c r="BG4" s="43" t="s">
        <v>730</v>
      </c>
      <c r="BI4" s="153"/>
      <c r="BJ4" s="153" t="s">
        <v>614</v>
      </c>
      <c r="BK4" s="96" t="s">
        <v>599</v>
      </c>
      <c r="BL4" s="41"/>
      <c r="BN4" s="153"/>
      <c r="BO4" s="182" t="s">
        <v>898</v>
      </c>
      <c r="BP4" s="166" t="s">
        <v>599</v>
      </c>
      <c r="BQ4" s="160"/>
      <c r="BS4" s="153"/>
      <c r="BT4" s="153" t="s">
        <v>3</v>
      </c>
      <c r="BU4" s="50" t="s">
        <v>602</v>
      </c>
      <c r="BV4" s="41" t="s">
        <v>604</v>
      </c>
      <c r="BX4" s="153"/>
      <c r="BY4" s="153" t="s">
        <v>3</v>
      </c>
      <c r="BZ4" s="50" t="s">
        <v>602</v>
      </c>
      <c r="CA4" s="51" t="s">
        <v>605</v>
      </c>
      <c r="CC4" s="153"/>
      <c r="CD4" s="153" t="s">
        <v>2</v>
      </c>
      <c r="CE4" s="96" t="s">
        <v>599</v>
      </c>
      <c r="CF4" s="41"/>
      <c r="CH4" s="185"/>
      <c r="CI4" s="185" t="s">
        <v>612</v>
      </c>
      <c r="CJ4" s="98" t="s">
        <v>599</v>
      </c>
      <c r="CK4" s="85"/>
      <c r="CM4" s="153"/>
      <c r="CN4" s="153" t="s">
        <v>616</v>
      </c>
      <c r="CO4" s="50" t="s">
        <v>602</v>
      </c>
      <c r="CP4" s="51" t="s">
        <v>962</v>
      </c>
      <c r="CR4" s="153"/>
      <c r="CS4" s="153" t="s">
        <v>2</v>
      </c>
      <c r="CT4" s="96" t="s">
        <v>599</v>
      </c>
      <c r="CU4" s="41"/>
      <c r="CW4" s="153"/>
      <c r="CX4" s="153" t="s">
        <v>613</v>
      </c>
      <c r="CY4" s="96" t="s">
        <v>599</v>
      </c>
      <c r="CZ4" s="41"/>
      <c r="DB4" s="153"/>
      <c r="DC4" s="153" t="s">
        <v>754</v>
      </c>
      <c r="DD4" s="96" t="s">
        <v>599</v>
      </c>
      <c r="DE4" s="41"/>
      <c r="DG4" s="154"/>
      <c r="DH4" s="154" t="s">
        <v>754</v>
      </c>
      <c r="DI4" s="95" t="s">
        <v>599</v>
      </c>
      <c r="DJ4" s="62"/>
      <c r="DL4" s="153"/>
      <c r="DM4" s="153" t="s">
        <v>754</v>
      </c>
      <c r="DN4" s="96" t="s">
        <v>599</v>
      </c>
      <c r="DO4" s="41"/>
    </row>
    <row r="5" spans="1:119">
      <c r="A5" s="153"/>
      <c r="B5" s="153" t="s">
        <v>197</v>
      </c>
      <c r="C5" s="50" t="s">
        <v>602</v>
      </c>
      <c r="D5" s="43" t="s">
        <v>603</v>
      </c>
      <c r="H5" s="154"/>
      <c r="I5" s="154" t="s">
        <v>652</v>
      </c>
      <c r="J5" s="95" t="s">
        <v>599</v>
      </c>
      <c r="K5" s="61"/>
      <c r="X5" s="153"/>
      <c r="Y5" s="153" t="s">
        <v>614</v>
      </c>
      <c r="Z5" s="96" t="s">
        <v>599</v>
      </c>
      <c r="AA5" s="41"/>
      <c r="AC5" s="153"/>
      <c r="AD5" s="153" t="s">
        <v>614</v>
      </c>
      <c r="AE5" s="96" t="s">
        <v>599</v>
      </c>
      <c r="AF5" s="42"/>
      <c r="AJ5" s="154"/>
      <c r="AK5" s="154" t="s">
        <v>172</v>
      </c>
      <c r="AL5" s="95" t="s">
        <v>599</v>
      </c>
      <c r="AM5" s="174"/>
      <c r="AN5" s="172"/>
      <c r="AO5" s="153"/>
      <c r="AP5" s="179" t="s">
        <v>816</v>
      </c>
      <c r="AQ5" s="166" t="s">
        <v>599</v>
      </c>
      <c r="AR5" s="176"/>
      <c r="AT5" s="153"/>
      <c r="AU5" s="153" t="s">
        <v>613</v>
      </c>
      <c r="AV5" s="96" t="s">
        <v>599</v>
      </c>
      <c r="AW5" s="42"/>
      <c r="AY5" s="153"/>
      <c r="AZ5" s="153" t="s">
        <v>615</v>
      </c>
      <c r="BA5" s="50" t="s">
        <v>602</v>
      </c>
      <c r="BB5" s="51" t="s">
        <v>857</v>
      </c>
      <c r="BD5" s="153"/>
      <c r="BE5" s="153" t="s">
        <v>719</v>
      </c>
      <c r="BF5" s="96" t="s">
        <v>599</v>
      </c>
      <c r="BG5" s="41"/>
      <c r="BI5" s="153"/>
      <c r="BJ5" s="153" t="s">
        <v>616</v>
      </c>
      <c r="BK5" s="96" t="s">
        <v>599</v>
      </c>
      <c r="BL5" s="43" t="s">
        <v>883</v>
      </c>
      <c r="BN5" s="153"/>
      <c r="BO5" s="182" t="s">
        <v>716</v>
      </c>
      <c r="BP5" s="166" t="s">
        <v>599</v>
      </c>
      <c r="BQ5" s="158"/>
      <c r="BS5" s="153"/>
      <c r="BT5" s="153" t="s">
        <v>714</v>
      </c>
      <c r="BU5" s="96" t="s">
        <v>599</v>
      </c>
      <c r="BV5" s="42"/>
      <c r="BX5" s="153"/>
      <c r="BY5" s="153" t="s">
        <v>613</v>
      </c>
      <c r="BZ5" s="96" t="s">
        <v>599</v>
      </c>
      <c r="CA5" s="42"/>
      <c r="CC5" s="153"/>
      <c r="CD5" s="153" t="s">
        <v>615</v>
      </c>
      <c r="CE5" s="96" t="s">
        <v>599</v>
      </c>
      <c r="CF5" s="42"/>
      <c r="CH5" s="185"/>
      <c r="CI5" s="185" t="s">
        <v>714</v>
      </c>
      <c r="CJ5" s="98" t="s">
        <v>599</v>
      </c>
      <c r="CK5" s="84"/>
      <c r="CM5" s="153"/>
      <c r="CN5" s="153" t="s">
        <v>598</v>
      </c>
      <c r="CO5" s="96" t="s">
        <v>599</v>
      </c>
      <c r="CP5" s="42"/>
      <c r="CR5" s="153"/>
      <c r="CS5" s="153" t="s">
        <v>615</v>
      </c>
      <c r="CT5" s="50" t="s">
        <v>602</v>
      </c>
      <c r="CU5" s="42" t="s">
        <v>971</v>
      </c>
      <c r="CW5" s="153"/>
      <c r="CX5" s="153" t="s">
        <v>614</v>
      </c>
      <c r="CY5" s="96" t="s">
        <v>599</v>
      </c>
      <c r="CZ5" s="42"/>
      <c r="DB5" s="153"/>
      <c r="DC5" s="153" t="s">
        <v>612</v>
      </c>
      <c r="DD5" s="50" t="s">
        <v>602</v>
      </c>
      <c r="DE5" s="43" t="s">
        <v>996</v>
      </c>
      <c r="DG5" s="154"/>
      <c r="DH5" s="154" t="s">
        <v>3</v>
      </c>
      <c r="DI5" s="77" t="s">
        <v>602</v>
      </c>
      <c r="DJ5" s="63" t="s">
        <v>610</v>
      </c>
      <c r="DL5" s="153"/>
      <c r="DM5" s="153" t="s">
        <v>3</v>
      </c>
      <c r="DN5" s="50" t="s">
        <v>602</v>
      </c>
      <c r="DO5" s="43" t="s">
        <v>610</v>
      </c>
    </row>
    <row r="6" spans="1:119">
      <c r="A6" s="153"/>
      <c r="B6" s="153" t="s">
        <v>198</v>
      </c>
      <c r="C6" s="50" t="s">
        <v>602</v>
      </c>
      <c r="D6" s="41" t="s">
        <v>604</v>
      </c>
      <c r="H6" s="154"/>
      <c r="I6" s="154" t="s">
        <v>636</v>
      </c>
      <c r="J6" s="95" t="s">
        <v>599</v>
      </c>
      <c r="K6" s="62"/>
      <c r="X6" s="153"/>
      <c r="Y6" s="153" t="s">
        <v>651</v>
      </c>
      <c r="Z6" s="50" t="s">
        <v>602</v>
      </c>
      <c r="AA6" s="43" t="s">
        <v>715</v>
      </c>
      <c r="AC6" s="153"/>
      <c r="AD6" s="153" t="s">
        <v>651</v>
      </c>
      <c r="AE6" s="96" t="s">
        <v>599</v>
      </c>
      <c r="AF6" s="41"/>
      <c r="AJ6" s="154"/>
      <c r="AK6" s="154" t="s">
        <v>173</v>
      </c>
      <c r="AL6" s="95" t="s">
        <v>599</v>
      </c>
      <c r="AM6" s="174"/>
      <c r="AN6" s="172"/>
      <c r="AO6" s="153"/>
      <c r="AP6" s="179" t="s">
        <v>636</v>
      </c>
      <c r="AQ6" s="166" t="s">
        <v>599</v>
      </c>
      <c r="AR6" s="176"/>
      <c r="AT6" s="153"/>
      <c r="AU6" s="153" t="s">
        <v>614</v>
      </c>
      <c r="AV6" s="96" t="s">
        <v>599</v>
      </c>
      <c r="AW6" s="41"/>
      <c r="AY6" s="153"/>
      <c r="AZ6" s="153" t="s">
        <v>719</v>
      </c>
      <c r="BA6" s="96" t="s">
        <v>599</v>
      </c>
      <c r="BB6" s="42"/>
      <c r="BD6" s="153"/>
      <c r="BE6" s="153" t="s">
        <v>143</v>
      </c>
      <c r="BF6" s="96" t="s">
        <v>599</v>
      </c>
      <c r="BG6" s="42"/>
      <c r="BI6" s="153"/>
      <c r="BJ6" s="153" t="s">
        <v>601</v>
      </c>
      <c r="BK6" s="96" t="s">
        <v>599</v>
      </c>
      <c r="BL6" s="41"/>
      <c r="BN6" s="153"/>
      <c r="BO6" s="182" t="s">
        <v>615</v>
      </c>
      <c r="BP6" s="166" t="s">
        <v>599</v>
      </c>
      <c r="BQ6" s="160"/>
      <c r="BS6" s="153"/>
      <c r="BT6" s="153" t="s">
        <v>614</v>
      </c>
      <c r="BU6" s="96" t="s">
        <v>599</v>
      </c>
      <c r="BV6" s="41"/>
      <c r="BX6" s="153"/>
      <c r="BY6" s="153" t="s">
        <v>614</v>
      </c>
      <c r="BZ6" s="96" t="s">
        <v>599</v>
      </c>
      <c r="CA6" s="41"/>
      <c r="CC6" s="153"/>
      <c r="CD6" s="153" t="s">
        <v>652</v>
      </c>
      <c r="CE6" s="96" t="s">
        <v>599</v>
      </c>
      <c r="CF6" s="41"/>
      <c r="CH6" s="185"/>
      <c r="CI6" s="185" t="s">
        <v>691</v>
      </c>
      <c r="CJ6" s="98" t="s">
        <v>599</v>
      </c>
      <c r="CK6" s="85"/>
      <c r="CM6" s="153"/>
      <c r="CN6" s="153" t="s">
        <v>171</v>
      </c>
      <c r="CO6" s="96" t="s">
        <v>599</v>
      </c>
      <c r="CP6" s="41"/>
      <c r="CR6" s="153"/>
      <c r="CS6" s="153" t="s">
        <v>652</v>
      </c>
      <c r="CT6" s="96" t="s">
        <v>599</v>
      </c>
      <c r="CU6" s="41"/>
      <c r="CW6" s="153"/>
      <c r="CX6" s="153" t="s">
        <v>651</v>
      </c>
      <c r="CY6" s="96" t="s">
        <v>599</v>
      </c>
      <c r="CZ6" s="41"/>
      <c r="DB6" s="153"/>
      <c r="DC6" s="153" t="s">
        <v>714</v>
      </c>
      <c r="DD6" s="96" t="s">
        <v>599</v>
      </c>
      <c r="DE6" s="41"/>
      <c r="DG6" s="154"/>
      <c r="DH6" s="154" t="s">
        <v>714</v>
      </c>
      <c r="DI6" s="95" t="s">
        <v>599</v>
      </c>
      <c r="DJ6" s="62"/>
      <c r="DL6" s="153"/>
      <c r="DM6" s="153" t="s">
        <v>714</v>
      </c>
      <c r="DN6" s="96" t="s">
        <v>599</v>
      </c>
      <c r="DO6" s="41"/>
    </row>
    <row r="7" spans="1:119">
      <c r="A7" s="153"/>
      <c r="B7" s="153" t="s">
        <v>229</v>
      </c>
      <c r="C7" s="50" t="s">
        <v>602</v>
      </c>
      <c r="D7" s="43" t="s">
        <v>605</v>
      </c>
      <c r="H7" s="154"/>
      <c r="I7" s="154" t="s">
        <v>637</v>
      </c>
      <c r="J7" s="95" t="s">
        <v>599</v>
      </c>
      <c r="K7" s="61"/>
      <c r="X7" s="153"/>
      <c r="Y7" s="153" t="s">
        <v>716</v>
      </c>
      <c r="Z7" s="96" t="s">
        <v>599</v>
      </c>
      <c r="AA7" s="41"/>
      <c r="AC7" s="153"/>
      <c r="AD7" s="153" t="s">
        <v>716</v>
      </c>
      <c r="AE7" s="96" t="s">
        <v>599</v>
      </c>
      <c r="AF7" s="42"/>
      <c r="AJ7" s="154"/>
      <c r="AK7" s="154" t="s">
        <v>198</v>
      </c>
      <c r="AL7" s="95" t="s">
        <v>599</v>
      </c>
      <c r="AM7" s="173" t="s">
        <v>780</v>
      </c>
      <c r="AN7" s="172"/>
      <c r="AO7" s="178"/>
      <c r="AP7" s="179" t="s">
        <v>637</v>
      </c>
      <c r="AQ7" s="166" t="s">
        <v>599</v>
      </c>
      <c r="AR7" s="176"/>
      <c r="AT7" s="153"/>
      <c r="AU7" s="153" t="s">
        <v>651</v>
      </c>
      <c r="AV7" s="96" t="s">
        <v>599</v>
      </c>
      <c r="AW7" s="42"/>
      <c r="AY7" s="153"/>
      <c r="AZ7" s="153" t="s">
        <v>143</v>
      </c>
      <c r="BA7" s="96" t="s">
        <v>599</v>
      </c>
      <c r="BB7" s="41"/>
      <c r="BD7" s="153"/>
      <c r="BE7" s="153" t="s">
        <v>144</v>
      </c>
      <c r="BF7" s="96" t="s">
        <v>599</v>
      </c>
      <c r="BG7" s="41"/>
      <c r="BI7" s="153"/>
      <c r="BJ7" s="153" t="s">
        <v>144</v>
      </c>
      <c r="BK7" s="96" t="s">
        <v>599</v>
      </c>
      <c r="BL7" s="42"/>
      <c r="BN7" s="153"/>
      <c r="BO7" s="182" t="s">
        <v>718</v>
      </c>
      <c r="BP7" s="166" t="s">
        <v>599</v>
      </c>
      <c r="BQ7" s="158"/>
      <c r="BS7" s="153"/>
      <c r="BT7" s="153" t="s">
        <v>898</v>
      </c>
      <c r="BU7" s="96" t="s">
        <v>599</v>
      </c>
      <c r="BV7" s="42"/>
      <c r="BX7" s="153"/>
      <c r="BY7" s="153" t="s">
        <v>898</v>
      </c>
      <c r="BZ7" s="50" t="s">
        <v>602</v>
      </c>
      <c r="CA7" s="43" t="s">
        <v>926</v>
      </c>
      <c r="CC7" s="153"/>
      <c r="CD7" s="153" t="s">
        <v>637</v>
      </c>
      <c r="CE7" s="96" t="s">
        <v>599</v>
      </c>
      <c r="CF7" s="42"/>
      <c r="CH7" s="185"/>
      <c r="CI7" s="185" t="s">
        <v>613</v>
      </c>
      <c r="CJ7" s="98" t="s">
        <v>599</v>
      </c>
      <c r="CK7" s="84"/>
      <c r="CM7" s="153"/>
      <c r="CN7" s="153" t="s">
        <v>830</v>
      </c>
      <c r="CO7" s="96" t="s">
        <v>599</v>
      </c>
      <c r="CP7" s="43" t="s">
        <v>963</v>
      </c>
      <c r="CR7" s="153"/>
      <c r="CS7" s="153" t="s">
        <v>637</v>
      </c>
      <c r="CT7" s="96" t="s">
        <v>599</v>
      </c>
      <c r="CU7" s="42"/>
      <c r="CW7" s="153"/>
      <c r="CX7" s="153" t="s">
        <v>937</v>
      </c>
      <c r="CY7" s="96" t="s">
        <v>599</v>
      </c>
      <c r="CZ7" s="42"/>
      <c r="DB7" s="153"/>
      <c r="DC7" s="153" t="s">
        <v>613</v>
      </c>
      <c r="DD7" s="96" t="s">
        <v>599</v>
      </c>
      <c r="DE7" s="43" t="s">
        <v>997</v>
      </c>
      <c r="DG7" s="154"/>
      <c r="DH7" s="154" t="s">
        <v>614</v>
      </c>
      <c r="DI7" s="95" t="s">
        <v>599</v>
      </c>
      <c r="DJ7" s="61"/>
      <c r="DL7" s="153"/>
      <c r="DM7" s="153" t="s">
        <v>614</v>
      </c>
      <c r="DN7" s="96" t="s">
        <v>599</v>
      </c>
      <c r="DO7" s="42"/>
    </row>
    <row r="8" spans="1:119">
      <c r="A8" s="153"/>
      <c r="B8" s="153" t="s">
        <v>606</v>
      </c>
      <c r="C8" s="50" t="s">
        <v>602</v>
      </c>
      <c r="D8" s="41"/>
      <c r="H8" s="154"/>
      <c r="I8" s="154" t="s">
        <v>653</v>
      </c>
      <c r="J8" s="95" t="s">
        <v>599</v>
      </c>
      <c r="K8" s="62"/>
      <c r="X8" s="153"/>
      <c r="Y8" s="153" t="s">
        <v>615</v>
      </c>
      <c r="Z8" s="96" t="s">
        <v>599</v>
      </c>
      <c r="AA8" s="42"/>
      <c r="AC8" s="153"/>
      <c r="AD8" s="153" t="s">
        <v>615</v>
      </c>
      <c r="AE8" s="96" t="s">
        <v>599</v>
      </c>
      <c r="AF8" s="41"/>
      <c r="AJ8" s="154"/>
      <c r="AK8" s="154" t="s">
        <v>229</v>
      </c>
      <c r="AL8" s="95" t="s">
        <v>599</v>
      </c>
      <c r="AM8" s="174"/>
      <c r="AN8" s="171"/>
      <c r="AO8" s="153"/>
      <c r="AP8" s="179" t="s">
        <v>616</v>
      </c>
      <c r="AQ8" s="166" t="s">
        <v>599</v>
      </c>
      <c r="AR8" s="176"/>
      <c r="AT8" s="153"/>
      <c r="AU8" s="153" t="s">
        <v>716</v>
      </c>
      <c r="AV8" s="96" t="s">
        <v>599</v>
      </c>
      <c r="AW8" s="41"/>
      <c r="AY8" s="153"/>
      <c r="AZ8" s="153" t="s">
        <v>173</v>
      </c>
      <c r="BA8" s="96" t="s">
        <v>599</v>
      </c>
      <c r="BB8" s="42"/>
      <c r="BD8" s="153"/>
      <c r="BE8" s="153" t="s">
        <v>172</v>
      </c>
      <c r="BF8" s="96" t="s">
        <v>599</v>
      </c>
      <c r="BG8" s="42"/>
      <c r="BI8" s="153"/>
      <c r="BJ8" s="153" t="s">
        <v>725</v>
      </c>
      <c r="BK8" s="96" t="s">
        <v>599</v>
      </c>
      <c r="BL8" s="51" t="s">
        <v>884</v>
      </c>
      <c r="BN8" s="153"/>
      <c r="BO8" s="182" t="s">
        <v>636</v>
      </c>
      <c r="BP8" s="166" t="s">
        <v>599</v>
      </c>
      <c r="BQ8" s="160"/>
      <c r="BS8" s="153"/>
      <c r="BT8" s="153" t="s">
        <v>651</v>
      </c>
      <c r="BU8" s="96" t="s">
        <v>599</v>
      </c>
      <c r="BV8" s="41"/>
      <c r="BX8" s="153"/>
      <c r="BY8" s="153" t="s">
        <v>651</v>
      </c>
      <c r="BZ8" s="96" t="s">
        <v>599</v>
      </c>
      <c r="CA8" s="41"/>
      <c r="CC8" s="153"/>
      <c r="CD8" s="153" t="s">
        <v>938</v>
      </c>
      <c r="CE8" s="50" t="s">
        <v>602</v>
      </c>
      <c r="CF8" s="41"/>
      <c r="CH8" s="185"/>
      <c r="CI8" s="185" t="s">
        <v>614</v>
      </c>
      <c r="CJ8" s="98" t="s">
        <v>599</v>
      </c>
      <c r="CK8" s="85"/>
      <c r="CM8" s="153"/>
      <c r="CN8" s="153" t="s">
        <v>622</v>
      </c>
      <c r="CO8" s="50" t="s">
        <v>602</v>
      </c>
      <c r="CP8" s="41" t="s">
        <v>964</v>
      </c>
      <c r="CR8" s="153"/>
      <c r="CS8" s="153" t="s">
        <v>106</v>
      </c>
      <c r="CT8" s="96" t="s">
        <v>599</v>
      </c>
      <c r="CU8" s="41"/>
      <c r="CW8" s="153"/>
      <c r="CX8" s="153" t="s">
        <v>2</v>
      </c>
      <c r="CY8" s="96" t="s">
        <v>599</v>
      </c>
      <c r="CZ8" s="51" t="s">
        <v>659</v>
      </c>
      <c r="DB8" s="153"/>
      <c r="DC8" s="153" t="s">
        <v>614</v>
      </c>
      <c r="DD8" s="96" t="s">
        <v>599</v>
      </c>
      <c r="DE8" s="41"/>
      <c r="DG8" s="154"/>
      <c r="DH8" s="154" t="s">
        <v>898</v>
      </c>
      <c r="DI8" s="95" t="s">
        <v>599</v>
      </c>
      <c r="DJ8" s="62"/>
      <c r="DL8" s="153"/>
      <c r="DM8" s="153" t="s">
        <v>898</v>
      </c>
      <c r="DN8" s="96" t="s">
        <v>599</v>
      </c>
      <c r="DO8" s="41"/>
    </row>
    <row r="9" spans="1:119">
      <c r="A9" s="153"/>
      <c r="B9" s="153" t="s">
        <v>607</v>
      </c>
      <c r="C9" s="50" t="s">
        <v>602</v>
      </c>
      <c r="D9" s="42" t="s">
        <v>608</v>
      </c>
      <c r="H9" s="154"/>
      <c r="I9" s="154" t="s">
        <v>616</v>
      </c>
      <c r="J9" s="95" t="s">
        <v>599</v>
      </c>
      <c r="K9" s="61"/>
      <c r="X9" s="153"/>
      <c r="Y9" s="153" t="s">
        <v>717</v>
      </c>
      <c r="Z9" s="96" t="s">
        <v>599</v>
      </c>
      <c r="AA9" s="41"/>
      <c r="AC9" s="153"/>
      <c r="AD9" s="153" t="s">
        <v>718</v>
      </c>
      <c r="AE9" s="96" t="s">
        <v>599</v>
      </c>
      <c r="AF9" s="42"/>
      <c r="AJ9" s="154"/>
      <c r="AK9" s="154" t="s">
        <v>230</v>
      </c>
      <c r="AL9" s="95" t="s">
        <v>599</v>
      </c>
      <c r="AM9" s="173" t="s">
        <v>781</v>
      </c>
      <c r="AN9" s="172"/>
      <c r="AO9" s="178"/>
      <c r="AP9" s="179" t="s">
        <v>598</v>
      </c>
      <c r="AQ9" s="166" t="s">
        <v>599</v>
      </c>
      <c r="AR9" s="176"/>
      <c r="AT9" s="153"/>
      <c r="AU9" s="153" t="s">
        <v>615</v>
      </c>
      <c r="AV9" s="96" t="s">
        <v>599</v>
      </c>
      <c r="AW9" s="42"/>
      <c r="AY9" s="153"/>
      <c r="AZ9" s="153" t="s">
        <v>198</v>
      </c>
      <c r="BA9" s="96" t="s">
        <v>599</v>
      </c>
      <c r="BB9" s="51" t="s">
        <v>858</v>
      </c>
      <c r="BD9" s="153"/>
      <c r="BE9" s="153" t="s">
        <v>198</v>
      </c>
      <c r="BF9" s="96" t="s">
        <v>599</v>
      </c>
      <c r="BG9" s="41"/>
      <c r="BI9" s="153"/>
      <c r="BJ9" s="153" t="s">
        <v>198</v>
      </c>
      <c r="BK9" s="96" t="s">
        <v>599</v>
      </c>
      <c r="BL9" s="42"/>
      <c r="BN9" s="153"/>
      <c r="BO9" s="182" t="s">
        <v>637</v>
      </c>
      <c r="BP9" s="166" t="s">
        <v>599</v>
      </c>
      <c r="BQ9" s="158"/>
      <c r="BS9" s="153"/>
      <c r="BT9" s="153" t="s">
        <v>2</v>
      </c>
      <c r="BU9" s="96" t="s">
        <v>599</v>
      </c>
      <c r="BV9" s="42"/>
      <c r="BX9" s="153"/>
      <c r="BY9" s="153" t="s">
        <v>2</v>
      </c>
      <c r="BZ9" s="96" t="s">
        <v>599</v>
      </c>
      <c r="CA9" s="42"/>
      <c r="CC9" s="153"/>
      <c r="CD9" s="153" t="s">
        <v>828</v>
      </c>
      <c r="CE9" s="96" t="s">
        <v>599</v>
      </c>
      <c r="CF9" s="42"/>
      <c r="CH9" s="185"/>
      <c r="CI9" s="185" t="s">
        <v>898</v>
      </c>
      <c r="CJ9" s="98" t="s">
        <v>599</v>
      </c>
      <c r="CK9" s="84"/>
      <c r="CM9" s="153"/>
      <c r="CN9" s="153" t="s">
        <v>198</v>
      </c>
      <c r="CO9" s="96" t="s">
        <v>599</v>
      </c>
      <c r="CP9" s="42"/>
      <c r="CR9" s="153"/>
      <c r="CS9" s="153" t="s">
        <v>143</v>
      </c>
      <c r="CT9" s="96" t="s">
        <v>599</v>
      </c>
      <c r="CU9" s="43" t="s">
        <v>783</v>
      </c>
      <c r="CW9" s="153"/>
      <c r="CX9" s="153" t="s">
        <v>716</v>
      </c>
      <c r="CY9" s="96" t="s">
        <v>599</v>
      </c>
      <c r="CZ9" s="42"/>
      <c r="DB9" s="153"/>
      <c r="DC9" s="153" t="s">
        <v>898</v>
      </c>
      <c r="DD9" s="96" t="s">
        <v>599</v>
      </c>
      <c r="DE9" s="42"/>
      <c r="DG9" s="154"/>
      <c r="DH9" s="154" t="s">
        <v>2</v>
      </c>
      <c r="DI9" s="77" t="s">
        <v>602</v>
      </c>
      <c r="DJ9" s="61" t="s">
        <v>662</v>
      </c>
      <c r="DL9" s="153"/>
      <c r="DM9" s="153" t="s">
        <v>2</v>
      </c>
      <c r="DN9" s="50" t="s">
        <v>602</v>
      </c>
      <c r="DO9" s="42" t="s">
        <v>662</v>
      </c>
    </row>
    <row r="10" spans="1:119">
      <c r="A10" s="153"/>
      <c r="B10" s="153" t="s">
        <v>609</v>
      </c>
      <c r="C10" s="50" t="s">
        <v>602</v>
      </c>
      <c r="D10" s="45" t="s">
        <v>610</v>
      </c>
      <c r="H10" s="154"/>
      <c r="I10" s="154" t="s">
        <v>619</v>
      </c>
      <c r="J10" s="95" t="s">
        <v>599</v>
      </c>
      <c r="K10" s="62"/>
      <c r="X10" s="153"/>
      <c r="Y10" s="153" t="s">
        <v>718</v>
      </c>
      <c r="Z10" s="96" t="s">
        <v>599</v>
      </c>
      <c r="AA10" s="42"/>
      <c r="AC10" s="153"/>
      <c r="AD10" s="153" t="s">
        <v>636</v>
      </c>
      <c r="AE10" s="96" t="s">
        <v>599</v>
      </c>
      <c r="AF10" s="41"/>
      <c r="AJ10" s="154"/>
      <c r="AK10" s="154" t="s">
        <v>624</v>
      </c>
      <c r="AL10" s="95" t="s">
        <v>599</v>
      </c>
      <c r="AM10" s="173" t="s">
        <v>782</v>
      </c>
      <c r="AN10" s="171"/>
      <c r="AO10" s="178"/>
      <c r="AP10" s="179" t="s">
        <v>143</v>
      </c>
      <c r="AQ10" s="166" t="s">
        <v>599</v>
      </c>
      <c r="AR10" s="176"/>
      <c r="AT10" s="153"/>
      <c r="AU10" s="153" t="s">
        <v>717</v>
      </c>
      <c r="AV10" s="96" t="s">
        <v>599</v>
      </c>
      <c r="AW10" s="41"/>
      <c r="AY10" s="153"/>
      <c r="AZ10" s="153" t="s">
        <v>229</v>
      </c>
      <c r="BA10" s="96" t="s">
        <v>599</v>
      </c>
      <c r="BB10" s="42"/>
      <c r="BD10" s="153"/>
      <c r="BE10" s="153" t="s">
        <v>229</v>
      </c>
      <c r="BF10" s="96" t="s">
        <v>599</v>
      </c>
      <c r="BG10" s="42"/>
      <c r="BI10" s="153"/>
      <c r="BJ10" s="153" t="s">
        <v>229</v>
      </c>
      <c r="BK10" s="96" t="s">
        <v>599</v>
      </c>
      <c r="BL10" s="51" t="s">
        <v>885</v>
      </c>
      <c r="BN10" s="153"/>
      <c r="BO10" s="182" t="s">
        <v>828</v>
      </c>
      <c r="BP10" s="166" t="s">
        <v>599</v>
      </c>
      <c r="BQ10" s="160"/>
      <c r="BS10" s="153"/>
      <c r="BT10" s="153" t="s">
        <v>615</v>
      </c>
      <c r="BU10" s="96" t="s">
        <v>599</v>
      </c>
      <c r="BV10" s="41"/>
      <c r="BX10" s="153"/>
      <c r="BY10" s="153" t="s">
        <v>615</v>
      </c>
      <c r="BZ10" s="96" t="s">
        <v>599</v>
      </c>
      <c r="CA10" s="41"/>
      <c r="CC10" s="153"/>
      <c r="CD10" s="153" t="s">
        <v>106</v>
      </c>
      <c r="CE10" s="96" t="s">
        <v>599</v>
      </c>
      <c r="CF10" s="41"/>
      <c r="CH10" s="185"/>
      <c r="CI10" s="185" t="s">
        <v>651</v>
      </c>
      <c r="CJ10" s="98" t="s">
        <v>599</v>
      </c>
      <c r="CK10" s="85"/>
      <c r="CM10" s="153"/>
      <c r="CN10" s="153" t="s">
        <v>644</v>
      </c>
      <c r="CO10" s="96" t="s">
        <v>599</v>
      </c>
      <c r="CP10" s="41"/>
      <c r="CR10" s="153"/>
      <c r="CS10" s="153" t="s">
        <v>640</v>
      </c>
      <c r="CT10" s="96" t="s">
        <v>599</v>
      </c>
      <c r="CU10" s="41"/>
      <c r="CW10" s="153"/>
      <c r="CX10" s="153" t="s">
        <v>615</v>
      </c>
      <c r="CY10" s="96" t="s">
        <v>599</v>
      </c>
      <c r="CZ10" s="41"/>
      <c r="DB10" s="153"/>
      <c r="DC10" s="153" t="s">
        <v>937</v>
      </c>
      <c r="DD10" s="96" t="s">
        <v>599</v>
      </c>
      <c r="DE10" s="41"/>
      <c r="DG10" s="154"/>
      <c r="DH10" s="154" t="s">
        <v>716</v>
      </c>
      <c r="DI10" s="95" t="s">
        <v>599</v>
      </c>
      <c r="DJ10" s="62"/>
      <c r="DL10" s="153"/>
      <c r="DM10" s="153" t="s">
        <v>716</v>
      </c>
      <c r="DN10" s="96" t="s">
        <v>599</v>
      </c>
      <c r="DO10" s="41"/>
    </row>
    <row r="11" spans="1:119">
      <c r="H11" s="154"/>
      <c r="I11" s="154" t="s">
        <v>654</v>
      </c>
      <c r="J11" s="77" t="s">
        <v>602</v>
      </c>
      <c r="K11" s="61"/>
      <c r="X11" s="153"/>
      <c r="Y11" s="153" t="s">
        <v>636</v>
      </c>
      <c r="Z11" s="96" t="s">
        <v>599</v>
      </c>
      <c r="AA11" s="41"/>
      <c r="AC11" s="153"/>
      <c r="AD11" s="153" t="s">
        <v>637</v>
      </c>
      <c r="AE11" s="96" t="s">
        <v>599</v>
      </c>
      <c r="AF11" s="42"/>
      <c r="AJ11" s="154"/>
      <c r="AK11" s="154" t="s">
        <v>656</v>
      </c>
      <c r="AL11" s="95" t="s">
        <v>599</v>
      </c>
      <c r="AM11" s="174"/>
      <c r="AN11" s="171"/>
      <c r="AO11" s="153"/>
      <c r="AP11" s="179" t="s">
        <v>725</v>
      </c>
      <c r="AQ11" s="166" t="s">
        <v>599</v>
      </c>
      <c r="AR11" s="176"/>
      <c r="AT11" s="153"/>
      <c r="AU11" s="153" t="s">
        <v>652</v>
      </c>
      <c r="AV11" s="96" t="s">
        <v>599</v>
      </c>
      <c r="AW11" s="43" t="s">
        <v>827</v>
      </c>
      <c r="AY11" s="153"/>
      <c r="AZ11" s="153" t="s">
        <v>656</v>
      </c>
      <c r="BA11" s="96" t="s">
        <v>599</v>
      </c>
      <c r="BB11" s="41"/>
      <c r="BD11" s="153"/>
      <c r="BE11" s="153" t="s">
        <v>656</v>
      </c>
      <c r="BF11" s="96" t="s">
        <v>599</v>
      </c>
      <c r="BG11" s="41"/>
      <c r="BI11" s="153"/>
      <c r="BJ11" s="153" t="s">
        <v>628</v>
      </c>
      <c r="BK11" s="96" t="s">
        <v>599</v>
      </c>
      <c r="BL11" s="42"/>
      <c r="BN11" s="153"/>
      <c r="BO11" s="182" t="s">
        <v>106</v>
      </c>
      <c r="BP11" s="166" t="s">
        <v>599</v>
      </c>
      <c r="BQ11" s="161" t="s">
        <v>735</v>
      </c>
      <c r="BS11" s="153"/>
      <c r="BT11" s="153" t="s">
        <v>703</v>
      </c>
      <c r="BU11" s="96" t="s">
        <v>599</v>
      </c>
      <c r="BV11" s="42"/>
      <c r="BX11" s="153"/>
      <c r="BY11" s="153" t="s">
        <v>718</v>
      </c>
      <c r="BZ11" s="96" t="s">
        <v>599</v>
      </c>
      <c r="CA11" s="42"/>
      <c r="CC11" s="153"/>
      <c r="CD11" s="153" t="s">
        <v>107</v>
      </c>
      <c r="CE11" s="50" t="s">
        <v>602</v>
      </c>
      <c r="CF11" s="42"/>
      <c r="CH11" s="185"/>
      <c r="CI11" s="185" t="s">
        <v>937</v>
      </c>
      <c r="CJ11" s="98" t="s">
        <v>599</v>
      </c>
      <c r="CK11" s="84"/>
      <c r="CM11" s="153"/>
      <c r="CN11" s="153" t="s">
        <v>231</v>
      </c>
      <c r="CO11" s="96" t="s">
        <v>599</v>
      </c>
      <c r="CP11" s="42"/>
      <c r="CR11" s="153"/>
      <c r="CS11" s="153" t="s">
        <v>172</v>
      </c>
      <c r="CT11" s="96" t="s">
        <v>599</v>
      </c>
      <c r="CU11" s="42"/>
      <c r="CW11" s="153"/>
      <c r="CX11" s="153" t="s">
        <v>816</v>
      </c>
      <c r="CY11" s="96" t="s">
        <v>599</v>
      </c>
      <c r="CZ11" s="42"/>
      <c r="DB11" s="153"/>
      <c r="DC11" s="153" t="s">
        <v>2</v>
      </c>
      <c r="DD11" s="96" t="s">
        <v>599</v>
      </c>
      <c r="DE11" s="42"/>
      <c r="DG11" s="154"/>
      <c r="DH11" s="154" t="s">
        <v>615</v>
      </c>
      <c r="DI11" s="95" t="s">
        <v>599</v>
      </c>
      <c r="DJ11" s="61"/>
      <c r="DL11" s="153"/>
      <c r="DM11" s="153" t="s">
        <v>615</v>
      </c>
      <c r="DN11" s="96" t="s">
        <v>599</v>
      </c>
      <c r="DO11" s="42"/>
    </row>
    <row r="12" spans="1:119">
      <c r="H12" s="154"/>
      <c r="I12" s="154" t="s">
        <v>621</v>
      </c>
      <c r="J12" s="95" t="s">
        <v>599</v>
      </c>
      <c r="K12" s="62"/>
      <c r="X12" s="153"/>
      <c r="Y12" s="153" t="s">
        <v>637</v>
      </c>
      <c r="Z12" s="96" t="s">
        <v>599</v>
      </c>
      <c r="AA12" s="42"/>
      <c r="AC12" s="153"/>
      <c r="AD12" s="153" t="s">
        <v>106</v>
      </c>
      <c r="AE12" s="96" t="s">
        <v>599</v>
      </c>
      <c r="AF12" s="41"/>
      <c r="AJ12" s="154"/>
      <c r="AK12" s="154" t="s">
        <v>265</v>
      </c>
      <c r="AL12" s="95" t="s">
        <v>599</v>
      </c>
      <c r="AM12" s="173" t="s">
        <v>783</v>
      </c>
      <c r="AN12" s="172"/>
      <c r="AO12" s="178"/>
      <c r="AP12" s="179" t="s">
        <v>640</v>
      </c>
      <c r="AQ12" s="166" t="s">
        <v>599</v>
      </c>
      <c r="AR12" s="176"/>
      <c r="AT12" s="153"/>
      <c r="AU12" s="153" t="s">
        <v>718</v>
      </c>
      <c r="AV12" s="96" t="s">
        <v>599</v>
      </c>
      <c r="AW12" s="41"/>
      <c r="AY12" s="153"/>
      <c r="AZ12" s="153" t="s">
        <v>265</v>
      </c>
      <c r="BA12" s="96" t="s">
        <v>599</v>
      </c>
      <c r="BB12" s="42"/>
      <c r="BD12" s="153"/>
      <c r="BE12" s="153" t="s">
        <v>868</v>
      </c>
      <c r="BF12" s="96" t="s">
        <v>599</v>
      </c>
      <c r="BG12" s="43" t="s">
        <v>869</v>
      </c>
      <c r="BI12" s="153"/>
      <c r="BJ12" s="153" t="s">
        <v>266</v>
      </c>
      <c r="BK12" s="96" t="s">
        <v>599</v>
      </c>
      <c r="BL12" s="51" t="s">
        <v>886</v>
      </c>
      <c r="BN12" s="153"/>
      <c r="BO12" s="182" t="s">
        <v>616</v>
      </c>
      <c r="BP12" s="166" t="s">
        <v>599</v>
      </c>
      <c r="BQ12" s="160"/>
      <c r="BS12" s="153"/>
      <c r="BT12" s="153" t="s">
        <v>816</v>
      </c>
      <c r="BU12" s="50" t="s">
        <v>602</v>
      </c>
      <c r="BV12" s="41" t="s">
        <v>906</v>
      </c>
      <c r="BX12" s="153"/>
      <c r="BY12" s="153" t="s">
        <v>636</v>
      </c>
      <c r="BZ12" s="96" t="s">
        <v>599</v>
      </c>
      <c r="CA12" s="41"/>
      <c r="CC12" s="153"/>
      <c r="CD12" s="153" t="s">
        <v>598</v>
      </c>
      <c r="CE12" s="96" t="s">
        <v>599</v>
      </c>
      <c r="CF12" s="41"/>
      <c r="CH12" s="185"/>
      <c r="CI12" s="185" t="s">
        <v>2</v>
      </c>
      <c r="CJ12" s="98" t="s">
        <v>599</v>
      </c>
      <c r="CK12" s="85"/>
      <c r="CM12" s="153"/>
      <c r="CN12" s="153" t="s">
        <v>606</v>
      </c>
      <c r="CO12" s="96" t="s">
        <v>599</v>
      </c>
      <c r="CP12" s="41"/>
      <c r="CR12" s="153"/>
      <c r="CS12" s="153" t="s">
        <v>173</v>
      </c>
      <c r="CT12" s="50" t="s">
        <v>602</v>
      </c>
      <c r="CU12" s="51" t="s">
        <v>870</v>
      </c>
      <c r="CW12" s="153"/>
      <c r="CX12" s="153" t="s">
        <v>718</v>
      </c>
      <c r="CY12" s="96" t="s">
        <v>599</v>
      </c>
      <c r="CZ12" s="41"/>
      <c r="DB12" s="153"/>
      <c r="DC12" s="153" t="s">
        <v>716</v>
      </c>
      <c r="DD12" s="96" t="s">
        <v>599</v>
      </c>
      <c r="DE12" s="41"/>
      <c r="DG12" s="154"/>
      <c r="DH12" s="154" t="s">
        <v>78</v>
      </c>
      <c r="DI12" s="77" t="s">
        <v>602</v>
      </c>
      <c r="DJ12" s="64" t="s">
        <v>666</v>
      </c>
      <c r="DL12" s="153"/>
      <c r="DM12" s="153" t="s">
        <v>78</v>
      </c>
      <c r="DN12" s="50" t="s">
        <v>602</v>
      </c>
      <c r="DO12" s="51" t="s">
        <v>666</v>
      </c>
    </row>
    <row r="13" spans="1:119">
      <c r="H13" s="154"/>
      <c r="I13" s="154" t="s">
        <v>622</v>
      </c>
      <c r="J13" s="77" t="s">
        <v>602</v>
      </c>
      <c r="K13" s="63" t="s">
        <v>655</v>
      </c>
      <c r="X13" s="153"/>
      <c r="Y13" s="153" t="s">
        <v>616</v>
      </c>
      <c r="Z13" s="96" t="s">
        <v>599</v>
      </c>
      <c r="AA13" s="41"/>
      <c r="AC13" s="153"/>
      <c r="AD13" s="153" t="s">
        <v>616</v>
      </c>
      <c r="AE13" s="96" t="s">
        <v>599</v>
      </c>
      <c r="AF13" s="42"/>
      <c r="AJ13" s="154"/>
      <c r="AK13" s="154" t="s">
        <v>266</v>
      </c>
      <c r="AL13" s="95" t="s">
        <v>599</v>
      </c>
      <c r="AM13" s="175"/>
      <c r="AN13" s="171"/>
      <c r="AO13" s="153"/>
      <c r="AP13" s="179" t="s">
        <v>171</v>
      </c>
      <c r="AQ13" s="166" t="s">
        <v>599</v>
      </c>
      <c r="AR13" s="176"/>
      <c r="AT13" s="153"/>
      <c r="AU13" s="153" t="s">
        <v>636</v>
      </c>
      <c r="AV13" s="96" t="s">
        <v>599</v>
      </c>
      <c r="AW13" s="42"/>
      <c r="AY13" s="153"/>
      <c r="AZ13" s="153" t="s">
        <v>266</v>
      </c>
      <c r="BA13" s="96" t="s">
        <v>599</v>
      </c>
      <c r="BB13" s="41"/>
      <c r="BD13" s="153"/>
      <c r="BE13" s="153" t="s">
        <v>265</v>
      </c>
      <c r="BF13" s="50" t="s">
        <v>602</v>
      </c>
      <c r="BG13" s="51" t="s">
        <v>870</v>
      </c>
      <c r="BI13" s="153"/>
      <c r="BJ13" s="153" t="s">
        <v>302</v>
      </c>
      <c r="BK13" s="96" t="s">
        <v>599</v>
      </c>
      <c r="BL13" s="43" t="s">
        <v>887</v>
      </c>
      <c r="BN13" s="153"/>
      <c r="BO13" s="182" t="s">
        <v>617</v>
      </c>
      <c r="BP13" s="166" t="s">
        <v>599</v>
      </c>
      <c r="BQ13" s="158"/>
      <c r="BS13" s="153"/>
      <c r="BT13" s="153" t="s">
        <v>718</v>
      </c>
      <c r="BU13" s="96" t="s">
        <v>599</v>
      </c>
      <c r="BV13" s="42"/>
      <c r="BX13" s="153"/>
      <c r="BY13" s="153" t="s">
        <v>637</v>
      </c>
      <c r="BZ13" s="96" t="s">
        <v>599</v>
      </c>
      <c r="CA13" s="42"/>
      <c r="CC13" s="153"/>
      <c r="CD13" s="153" t="s">
        <v>601</v>
      </c>
      <c r="CE13" s="96" t="s">
        <v>599</v>
      </c>
      <c r="CF13" s="42"/>
      <c r="CH13" s="185"/>
      <c r="CI13" s="185" t="s">
        <v>716</v>
      </c>
      <c r="CJ13" s="98" t="s">
        <v>599</v>
      </c>
      <c r="CK13" s="84"/>
      <c r="CM13" s="153"/>
      <c r="CN13" s="153" t="s">
        <v>656</v>
      </c>
      <c r="CO13" s="96" t="s">
        <v>599</v>
      </c>
      <c r="CP13" s="42"/>
      <c r="CR13" s="153"/>
      <c r="CS13" s="153" t="s">
        <v>939</v>
      </c>
      <c r="CT13" s="50" t="s">
        <v>602</v>
      </c>
      <c r="CU13" s="43" t="s">
        <v>972</v>
      </c>
      <c r="CW13" s="153"/>
      <c r="CX13" s="153" t="s">
        <v>979</v>
      </c>
      <c r="CY13" s="50" t="s">
        <v>602</v>
      </c>
      <c r="CZ13" s="43" t="s">
        <v>980</v>
      </c>
      <c r="DB13" s="153"/>
      <c r="DC13" s="153" t="s">
        <v>615</v>
      </c>
      <c r="DD13" s="96" t="s">
        <v>599</v>
      </c>
      <c r="DE13" s="42"/>
      <c r="DG13" s="154"/>
      <c r="DH13" s="154" t="s">
        <v>717</v>
      </c>
      <c r="DI13" s="95" t="s">
        <v>599</v>
      </c>
      <c r="DJ13" s="61"/>
      <c r="DL13" s="153"/>
      <c r="DM13" s="153" t="s">
        <v>717</v>
      </c>
      <c r="DN13" s="96" t="s">
        <v>599</v>
      </c>
      <c r="DO13" s="42"/>
    </row>
    <row r="14" spans="1:119">
      <c r="H14" s="154"/>
      <c r="I14" s="154" t="s">
        <v>198</v>
      </c>
      <c r="J14" s="95" t="s">
        <v>599</v>
      </c>
      <c r="K14" s="62"/>
      <c r="X14" s="153"/>
      <c r="Y14" s="153" t="s">
        <v>617</v>
      </c>
      <c r="Z14" s="96" t="s">
        <v>599</v>
      </c>
      <c r="AA14" s="42"/>
      <c r="AC14" s="153"/>
      <c r="AD14" s="153" t="s">
        <v>617</v>
      </c>
      <c r="AE14" s="96" t="s">
        <v>599</v>
      </c>
      <c r="AF14" s="41"/>
      <c r="AN14" s="168"/>
      <c r="AO14" s="180"/>
      <c r="AP14" s="179" t="s">
        <v>622</v>
      </c>
      <c r="AQ14" s="167" t="s">
        <v>602</v>
      </c>
      <c r="AR14" s="177" t="s">
        <v>2076</v>
      </c>
      <c r="AT14" s="153"/>
      <c r="AU14" s="153" t="s">
        <v>789</v>
      </c>
      <c r="AV14" s="96" t="s">
        <v>599</v>
      </c>
      <c r="AW14" s="41"/>
      <c r="BD14" s="153"/>
      <c r="BE14" s="153" t="s">
        <v>266</v>
      </c>
      <c r="BF14" s="96" t="s">
        <v>599</v>
      </c>
      <c r="BG14" s="41"/>
      <c r="BI14" s="153"/>
      <c r="BJ14" s="153" t="s">
        <v>609</v>
      </c>
      <c r="BK14" s="50" t="s">
        <v>602</v>
      </c>
      <c r="BL14" s="51" t="s">
        <v>888</v>
      </c>
      <c r="BN14" s="153"/>
      <c r="BO14" s="182" t="s">
        <v>719</v>
      </c>
      <c r="BP14" s="166" t="s">
        <v>599</v>
      </c>
      <c r="BQ14" s="160"/>
      <c r="BS14" s="153"/>
      <c r="BT14" s="153" t="s">
        <v>636</v>
      </c>
      <c r="BU14" s="96" t="s">
        <v>599</v>
      </c>
      <c r="BV14" s="41"/>
      <c r="BX14" s="153"/>
      <c r="BY14" s="153" t="s">
        <v>828</v>
      </c>
      <c r="BZ14" s="96" t="s">
        <v>599</v>
      </c>
      <c r="CA14" s="41"/>
      <c r="CC14" s="153"/>
      <c r="CD14" s="153" t="s">
        <v>143</v>
      </c>
      <c r="CE14" s="96" t="s">
        <v>599</v>
      </c>
      <c r="CF14" s="51" t="s">
        <v>781</v>
      </c>
      <c r="CH14" s="185"/>
      <c r="CI14" s="185" t="s">
        <v>615</v>
      </c>
      <c r="CJ14" s="98" t="s">
        <v>599</v>
      </c>
      <c r="CK14" s="85"/>
      <c r="CM14" s="153"/>
      <c r="CN14" s="153" t="s">
        <v>266</v>
      </c>
      <c r="CO14" s="96" t="s">
        <v>599</v>
      </c>
      <c r="CP14" s="41"/>
      <c r="CR14" s="153"/>
      <c r="CS14" s="153" t="s">
        <v>198</v>
      </c>
      <c r="CT14" s="96" t="s">
        <v>599</v>
      </c>
      <c r="CU14" s="41"/>
      <c r="CW14" s="153"/>
      <c r="CX14" s="153" t="s">
        <v>636</v>
      </c>
      <c r="CY14" s="96" t="s">
        <v>599</v>
      </c>
      <c r="CZ14" s="41"/>
      <c r="DB14" s="153"/>
      <c r="DC14" s="153" t="s">
        <v>718</v>
      </c>
      <c r="DD14" s="96" t="s">
        <v>599</v>
      </c>
      <c r="DE14" s="41"/>
      <c r="DG14" s="154"/>
      <c r="DH14" s="154" t="s">
        <v>718</v>
      </c>
      <c r="DI14" s="95" t="s">
        <v>599</v>
      </c>
      <c r="DJ14" s="62"/>
      <c r="DL14" s="153"/>
      <c r="DM14" s="153" t="s">
        <v>718</v>
      </c>
      <c r="DN14" s="96" t="s">
        <v>599</v>
      </c>
      <c r="DO14" s="41"/>
    </row>
    <row r="15" spans="1:119">
      <c r="H15" s="154"/>
      <c r="I15" s="154" t="s">
        <v>229</v>
      </c>
      <c r="J15" s="95" t="s">
        <v>599</v>
      </c>
      <c r="K15" s="61"/>
      <c r="X15" s="153"/>
      <c r="Y15" s="153" t="s">
        <v>107</v>
      </c>
      <c r="Z15" s="96" t="s">
        <v>599</v>
      </c>
      <c r="AA15" s="41"/>
      <c r="AC15" s="153"/>
      <c r="AD15" s="153" t="s">
        <v>755</v>
      </c>
      <c r="AE15" s="96" t="s">
        <v>599</v>
      </c>
      <c r="AF15" s="42"/>
      <c r="AO15" s="180"/>
      <c r="AP15" s="179" t="s">
        <v>643</v>
      </c>
      <c r="AQ15" s="166" t="s">
        <v>599</v>
      </c>
      <c r="AR15" s="176"/>
      <c r="AT15" s="153"/>
      <c r="AU15" s="153" t="s">
        <v>637</v>
      </c>
      <c r="AV15" s="96" t="s">
        <v>599</v>
      </c>
      <c r="AW15" s="42"/>
      <c r="BI15" s="153"/>
      <c r="BJ15" s="153" t="s">
        <v>648</v>
      </c>
      <c r="BK15" s="96" t="s">
        <v>599</v>
      </c>
      <c r="BL15" s="42"/>
      <c r="BN15" s="153"/>
      <c r="BO15" s="182" t="s">
        <v>755</v>
      </c>
      <c r="BP15" s="166" t="s">
        <v>599</v>
      </c>
      <c r="BQ15" s="158"/>
      <c r="BS15" s="153"/>
      <c r="BT15" s="153" t="s">
        <v>637</v>
      </c>
      <c r="BU15" s="96" t="s">
        <v>599</v>
      </c>
      <c r="BV15" s="42"/>
      <c r="BX15" s="153"/>
      <c r="BY15" s="153" t="s">
        <v>927</v>
      </c>
      <c r="BZ15" s="50" t="s">
        <v>602</v>
      </c>
      <c r="CA15" s="43" t="s">
        <v>928</v>
      </c>
      <c r="CC15" s="153"/>
      <c r="CD15" s="153" t="s">
        <v>639</v>
      </c>
      <c r="CE15" s="96" t="s">
        <v>599</v>
      </c>
      <c r="CF15" s="42"/>
      <c r="CH15" s="185"/>
      <c r="CI15" s="185" t="s">
        <v>717</v>
      </c>
      <c r="CJ15" s="98" t="s">
        <v>599</v>
      </c>
      <c r="CK15" s="84"/>
      <c r="CM15" s="153"/>
      <c r="CN15" s="153" t="s">
        <v>629</v>
      </c>
      <c r="CO15" s="96" t="s">
        <v>599</v>
      </c>
      <c r="CP15" s="42"/>
      <c r="CR15" s="153"/>
      <c r="CS15" s="153" t="s">
        <v>760</v>
      </c>
      <c r="CT15" s="96" t="s">
        <v>599</v>
      </c>
      <c r="CU15" s="42"/>
      <c r="CW15" s="153"/>
      <c r="CX15" s="153" t="s">
        <v>637</v>
      </c>
      <c r="CY15" s="96" t="s">
        <v>599</v>
      </c>
      <c r="CZ15" s="42"/>
      <c r="DB15" s="153"/>
      <c r="DC15" s="153" t="s">
        <v>636</v>
      </c>
      <c r="DD15" s="96" t="s">
        <v>599</v>
      </c>
      <c r="DE15" s="42"/>
      <c r="DG15" s="154"/>
      <c r="DH15" s="154" t="s">
        <v>636</v>
      </c>
      <c r="DI15" s="95" t="s">
        <v>599</v>
      </c>
      <c r="DJ15" s="61"/>
      <c r="DL15" s="153"/>
      <c r="DM15" s="153" t="s">
        <v>636</v>
      </c>
      <c r="DN15" s="96" t="s">
        <v>599</v>
      </c>
      <c r="DO15" s="42"/>
    </row>
    <row r="16" spans="1:119">
      <c r="H16" s="154"/>
      <c r="I16" s="154" t="s">
        <v>230</v>
      </c>
      <c r="J16" s="95" t="s">
        <v>599</v>
      </c>
      <c r="K16" s="62"/>
      <c r="X16" s="153"/>
      <c r="Y16" s="153" t="s">
        <v>719</v>
      </c>
      <c r="Z16" s="96" t="s">
        <v>599</v>
      </c>
      <c r="AA16" s="42"/>
      <c r="AC16" s="153"/>
      <c r="AD16" s="153" t="s">
        <v>619</v>
      </c>
      <c r="AE16" s="96" t="s">
        <v>599</v>
      </c>
      <c r="AF16" s="41"/>
      <c r="AO16" s="180"/>
      <c r="AP16" s="179" t="s">
        <v>173</v>
      </c>
      <c r="AQ16" s="166" t="s">
        <v>599</v>
      </c>
      <c r="AR16" s="176"/>
      <c r="AT16" s="153"/>
      <c r="AU16" s="153" t="s">
        <v>828</v>
      </c>
      <c r="AV16" s="96" t="s">
        <v>599</v>
      </c>
      <c r="AW16" s="41"/>
      <c r="BI16" s="153"/>
      <c r="BJ16" s="153" t="s">
        <v>814</v>
      </c>
      <c r="BK16" s="96" t="s">
        <v>599</v>
      </c>
      <c r="BL16" s="41"/>
      <c r="BN16" s="153"/>
      <c r="BO16" s="182" t="s">
        <v>619</v>
      </c>
      <c r="BP16" s="166" t="s">
        <v>599</v>
      </c>
      <c r="BQ16" s="160"/>
      <c r="BS16" s="153"/>
      <c r="BT16" s="153" t="s">
        <v>828</v>
      </c>
      <c r="BU16" s="50" t="s">
        <v>602</v>
      </c>
      <c r="BV16" s="51" t="s">
        <v>907</v>
      </c>
      <c r="BX16" s="153"/>
      <c r="BY16" s="153" t="s">
        <v>106</v>
      </c>
      <c r="BZ16" s="96" t="s">
        <v>599</v>
      </c>
      <c r="CA16" s="41"/>
      <c r="CC16" s="153"/>
      <c r="CD16" s="153" t="s">
        <v>622</v>
      </c>
      <c r="CE16" s="96" t="s">
        <v>599</v>
      </c>
      <c r="CF16" s="41"/>
      <c r="CH16" s="185"/>
      <c r="CI16" s="185" t="s">
        <v>703</v>
      </c>
      <c r="CJ16" s="98" t="s">
        <v>599</v>
      </c>
      <c r="CK16" s="85"/>
      <c r="CM16" s="153"/>
      <c r="CN16" s="153" t="s">
        <v>607</v>
      </c>
      <c r="CO16" s="96" t="s">
        <v>599</v>
      </c>
      <c r="CP16" s="41"/>
      <c r="CR16" s="153"/>
      <c r="CS16" s="153" t="s">
        <v>230</v>
      </c>
      <c r="CT16" s="96" t="s">
        <v>599</v>
      </c>
      <c r="CU16" s="41"/>
      <c r="CW16" s="153"/>
      <c r="CX16" s="153" t="s">
        <v>106</v>
      </c>
      <c r="CY16" s="96" t="s">
        <v>599</v>
      </c>
      <c r="CZ16" s="41"/>
      <c r="DB16" s="153"/>
      <c r="DC16" s="153" t="s">
        <v>789</v>
      </c>
      <c r="DD16" s="96" t="s">
        <v>599</v>
      </c>
      <c r="DE16" s="41"/>
      <c r="DG16" s="154"/>
      <c r="DH16" s="154" t="s">
        <v>637</v>
      </c>
      <c r="DI16" s="95" t="s">
        <v>599</v>
      </c>
      <c r="DJ16" s="62"/>
      <c r="DL16" s="153"/>
      <c r="DM16" s="153" t="s">
        <v>637</v>
      </c>
      <c r="DN16" s="96" t="s">
        <v>599</v>
      </c>
      <c r="DO16" s="41"/>
    </row>
    <row r="17" spans="8:119">
      <c r="H17" s="154"/>
      <c r="I17" s="154" t="s">
        <v>644</v>
      </c>
      <c r="J17" s="95" t="s">
        <v>599</v>
      </c>
      <c r="K17" s="61"/>
      <c r="X17" s="153"/>
      <c r="Y17" s="153" t="s">
        <v>720</v>
      </c>
      <c r="Z17" s="50" t="s">
        <v>602</v>
      </c>
      <c r="AA17" s="51" t="s">
        <v>721</v>
      </c>
      <c r="AC17" s="153"/>
      <c r="AD17" s="153" t="s">
        <v>598</v>
      </c>
      <c r="AE17" s="96" t="s">
        <v>599</v>
      </c>
      <c r="AF17" s="42"/>
      <c r="AO17" s="180"/>
      <c r="AP17" s="179" t="s">
        <v>731</v>
      </c>
      <c r="AQ17" s="166" t="s">
        <v>599</v>
      </c>
      <c r="AR17" s="176"/>
      <c r="AT17" s="153"/>
      <c r="AU17" s="153" t="s">
        <v>106</v>
      </c>
      <c r="AV17" s="96" t="s">
        <v>599</v>
      </c>
      <c r="AW17" s="42"/>
      <c r="BN17" s="153"/>
      <c r="BO17" s="182" t="s">
        <v>598</v>
      </c>
      <c r="BP17" s="166" t="s">
        <v>599</v>
      </c>
      <c r="BQ17" s="158"/>
      <c r="BS17" s="153"/>
      <c r="BT17" s="153" t="s">
        <v>616</v>
      </c>
      <c r="BU17" s="96" t="s">
        <v>599</v>
      </c>
      <c r="BV17" s="43" t="s">
        <v>908</v>
      </c>
      <c r="BX17" s="153"/>
      <c r="BY17" s="153" t="s">
        <v>616</v>
      </c>
      <c r="BZ17" s="96" t="s">
        <v>599</v>
      </c>
      <c r="CA17" s="42"/>
      <c r="CC17" s="153"/>
      <c r="CD17" s="153" t="s">
        <v>939</v>
      </c>
      <c r="CE17" s="50" t="s">
        <v>602</v>
      </c>
      <c r="CF17" s="42"/>
      <c r="CH17" s="185"/>
      <c r="CI17" s="185" t="s">
        <v>718</v>
      </c>
      <c r="CJ17" s="98" t="s">
        <v>599</v>
      </c>
      <c r="CK17" s="84"/>
      <c r="CM17" s="153"/>
      <c r="CN17" s="153" t="s">
        <v>609</v>
      </c>
      <c r="CO17" s="96" t="s">
        <v>599</v>
      </c>
      <c r="CP17" s="42" t="s">
        <v>965</v>
      </c>
      <c r="CR17" s="153"/>
      <c r="CS17" s="153" t="s">
        <v>624</v>
      </c>
      <c r="CT17" s="96" t="s">
        <v>599</v>
      </c>
      <c r="CU17" s="42"/>
      <c r="CW17" s="153"/>
      <c r="CX17" s="153" t="s">
        <v>616</v>
      </c>
      <c r="CY17" s="96" t="s">
        <v>599</v>
      </c>
      <c r="CZ17" s="42"/>
      <c r="DB17" s="153"/>
      <c r="DC17" s="153" t="s">
        <v>637</v>
      </c>
      <c r="DD17" s="96" t="s">
        <v>599</v>
      </c>
      <c r="DE17" s="43" t="s">
        <v>998</v>
      </c>
      <c r="DG17" s="154"/>
      <c r="DH17" s="154" t="s">
        <v>106</v>
      </c>
      <c r="DI17" s="95" t="s">
        <v>599</v>
      </c>
      <c r="DJ17" s="61"/>
      <c r="DL17" s="153"/>
      <c r="DM17" s="153" t="s">
        <v>106</v>
      </c>
      <c r="DN17" s="96" t="s">
        <v>599</v>
      </c>
      <c r="DO17" s="42"/>
    </row>
    <row r="18" spans="8:119">
      <c r="H18" s="154"/>
      <c r="I18" s="154" t="s">
        <v>231</v>
      </c>
      <c r="J18" s="95" t="s">
        <v>599</v>
      </c>
      <c r="K18" s="62"/>
      <c r="X18" s="153"/>
      <c r="Y18" s="153" t="s">
        <v>619</v>
      </c>
      <c r="Z18" s="96" t="s">
        <v>599</v>
      </c>
      <c r="AA18" s="42"/>
      <c r="AC18" s="153"/>
      <c r="AD18" s="153" t="s">
        <v>722</v>
      </c>
      <c r="AE18" s="96" t="s">
        <v>599</v>
      </c>
      <c r="AF18" s="41"/>
      <c r="AO18" s="180"/>
      <c r="AP18" s="179" t="s">
        <v>197</v>
      </c>
      <c r="AQ18" s="166" t="s">
        <v>599</v>
      </c>
      <c r="AR18" s="176"/>
      <c r="AT18" s="153"/>
      <c r="AU18" s="153" t="s">
        <v>616</v>
      </c>
      <c r="AV18" s="96" t="s">
        <v>599</v>
      </c>
      <c r="AW18" s="41"/>
      <c r="BN18" s="153"/>
      <c r="BO18" s="182" t="s">
        <v>722</v>
      </c>
      <c r="BP18" s="166" t="s">
        <v>599</v>
      </c>
      <c r="BQ18" s="160"/>
      <c r="BS18" s="153"/>
      <c r="BT18" s="153" t="s">
        <v>617</v>
      </c>
      <c r="BU18" s="96" t="s">
        <v>599</v>
      </c>
      <c r="BV18" s="41"/>
      <c r="BX18" s="153"/>
      <c r="BY18" s="153" t="s">
        <v>617</v>
      </c>
      <c r="BZ18" s="96" t="s">
        <v>599</v>
      </c>
      <c r="CA18" s="41"/>
      <c r="CC18" s="153"/>
      <c r="CD18" s="153" t="s">
        <v>731</v>
      </c>
      <c r="CE18" s="96" t="s">
        <v>599</v>
      </c>
      <c r="CF18" s="41"/>
      <c r="CH18" s="185"/>
      <c r="CI18" s="185" t="s">
        <v>636</v>
      </c>
      <c r="CJ18" s="98" t="s">
        <v>599</v>
      </c>
      <c r="CK18" s="85"/>
      <c r="CM18" s="153"/>
      <c r="CN18" s="153" t="s">
        <v>648</v>
      </c>
      <c r="CO18" s="96" t="s">
        <v>599</v>
      </c>
      <c r="CP18" s="41"/>
      <c r="CR18" s="153"/>
      <c r="CS18" s="153" t="s">
        <v>762</v>
      </c>
      <c r="CT18" s="96" t="s">
        <v>599</v>
      </c>
      <c r="CU18" s="41"/>
      <c r="CW18" s="153"/>
      <c r="CX18" s="153" t="s">
        <v>617</v>
      </c>
      <c r="CY18" s="96" t="s">
        <v>599</v>
      </c>
      <c r="CZ18" s="41"/>
      <c r="DB18" s="153"/>
      <c r="DC18" s="153" t="s">
        <v>999</v>
      </c>
      <c r="DD18" s="96" t="s">
        <v>599</v>
      </c>
      <c r="DE18" s="41"/>
      <c r="DG18" s="154"/>
      <c r="DH18" s="154" t="s">
        <v>616</v>
      </c>
      <c r="DI18" s="95" t="s">
        <v>599</v>
      </c>
      <c r="DJ18" s="62"/>
      <c r="DL18" s="153"/>
      <c r="DM18" s="153" t="s">
        <v>616</v>
      </c>
      <c r="DN18" s="96" t="s">
        <v>599</v>
      </c>
      <c r="DO18" s="41"/>
    </row>
    <row r="19" spans="8:119">
      <c r="H19" s="154"/>
      <c r="I19" s="154" t="s">
        <v>625</v>
      </c>
      <c r="J19" s="95" t="s">
        <v>599</v>
      </c>
      <c r="K19" s="61"/>
      <c r="X19" s="153"/>
      <c r="Y19" s="153" t="s">
        <v>598</v>
      </c>
      <c r="Z19" s="96" t="s">
        <v>599</v>
      </c>
      <c r="AA19" s="41"/>
      <c r="AC19" s="153"/>
      <c r="AD19" s="153" t="s">
        <v>601</v>
      </c>
      <c r="AE19" s="96" t="s">
        <v>599</v>
      </c>
      <c r="AF19" s="42"/>
      <c r="AO19" s="180"/>
      <c r="AP19" s="179" t="s">
        <v>198</v>
      </c>
      <c r="AQ19" s="166" t="s">
        <v>599</v>
      </c>
      <c r="AR19" s="176"/>
      <c r="AT19" s="153"/>
      <c r="AU19" s="153" t="s">
        <v>617</v>
      </c>
      <c r="AV19" s="96" t="s">
        <v>599</v>
      </c>
      <c r="AW19" s="42"/>
      <c r="BN19" s="153"/>
      <c r="BO19" s="182" t="s">
        <v>601</v>
      </c>
      <c r="BP19" s="166" t="s">
        <v>599</v>
      </c>
      <c r="BQ19" s="158"/>
      <c r="BS19" s="153"/>
      <c r="BT19" s="153" t="s">
        <v>719</v>
      </c>
      <c r="BU19" s="96" t="s">
        <v>599</v>
      </c>
      <c r="BV19" s="43" t="s">
        <v>909</v>
      </c>
      <c r="BX19" s="153"/>
      <c r="BY19" s="153" t="s">
        <v>107</v>
      </c>
      <c r="BZ19" s="96" t="s">
        <v>599</v>
      </c>
      <c r="CA19" s="42"/>
      <c r="CC19" s="153"/>
      <c r="CD19" s="153" t="s">
        <v>796</v>
      </c>
      <c r="CE19" s="96" t="s">
        <v>599</v>
      </c>
      <c r="CF19" s="42"/>
      <c r="CH19" s="185"/>
      <c r="CI19" s="185" t="s">
        <v>637</v>
      </c>
      <c r="CJ19" s="98" t="s">
        <v>599</v>
      </c>
      <c r="CK19" s="43" t="s">
        <v>954</v>
      </c>
      <c r="CR19" s="153"/>
      <c r="CS19" s="153" t="s">
        <v>656</v>
      </c>
      <c r="CT19" s="96" t="s">
        <v>599</v>
      </c>
      <c r="CU19" s="42"/>
      <c r="CW19" s="153"/>
      <c r="CX19" s="153" t="s">
        <v>981</v>
      </c>
      <c r="CY19" s="96" t="s">
        <v>599</v>
      </c>
      <c r="CZ19" s="43" t="s">
        <v>982</v>
      </c>
      <c r="DB19" s="153"/>
      <c r="DC19" s="153" t="s">
        <v>791</v>
      </c>
      <c r="DD19" s="50" t="s">
        <v>602</v>
      </c>
      <c r="DE19" s="42"/>
      <c r="DG19" s="154"/>
      <c r="DH19" s="154" t="s">
        <v>107</v>
      </c>
      <c r="DI19" s="95" t="s">
        <v>599</v>
      </c>
      <c r="DJ19" s="61"/>
      <c r="DL19" s="153"/>
      <c r="DM19" s="153" t="s">
        <v>107</v>
      </c>
      <c r="DN19" s="96" t="s">
        <v>599</v>
      </c>
      <c r="DO19" s="42"/>
    </row>
    <row r="20" spans="8:119">
      <c r="H20" s="154"/>
      <c r="I20" s="154" t="s">
        <v>264</v>
      </c>
      <c r="J20" s="95" t="s">
        <v>599</v>
      </c>
      <c r="K20" s="62"/>
      <c r="X20" s="153"/>
      <c r="Y20" s="153" t="s">
        <v>722</v>
      </c>
      <c r="Z20" s="96" t="s">
        <v>599</v>
      </c>
      <c r="AA20" s="43" t="s">
        <v>723</v>
      </c>
      <c r="AC20" s="153"/>
      <c r="AD20" s="153" t="s">
        <v>705</v>
      </c>
      <c r="AE20" s="96" t="s">
        <v>599</v>
      </c>
      <c r="AF20" s="41"/>
      <c r="AO20" s="180"/>
      <c r="AP20" s="181" t="s">
        <v>760</v>
      </c>
      <c r="AQ20" s="166" t="s">
        <v>599</v>
      </c>
      <c r="AR20" s="176"/>
      <c r="AT20" s="153"/>
      <c r="AU20" s="153" t="s">
        <v>107</v>
      </c>
      <c r="AV20" s="50" t="s">
        <v>602</v>
      </c>
      <c r="AW20" s="51" t="s">
        <v>757</v>
      </c>
      <c r="BN20" s="153"/>
      <c r="BO20" s="182" t="s">
        <v>705</v>
      </c>
      <c r="BP20" s="166" t="s">
        <v>599</v>
      </c>
      <c r="BQ20" s="160"/>
      <c r="BS20" s="153"/>
      <c r="BT20" s="153" t="s">
        <v>755</v>
      </c>
      <c r="BU20" s="96" t="s">
        <v>599</v>
      </c>
      <c r="BV20" s="41"/>
      <c r="BX20" s="153"/>
      <c r="BY20" s="153" t="s">
        <v>719</v>
      </c>
      <c r="BZ20" s="96" t="s">
        <v>599</v>
      </c>
      <c r="CA20" s="41"/>
      <c r="CC20" s="153"/>
      <c r="CD20" s="153" t="s">
        <v>198</v>
      </c>
      <c r="CE20" s="96" t="s">
        <v>599</v>
      </c>
      <c r="CF20" s="41"/>
      <c r="CH20" s="185"/>
      <c r="CI20" s="185" t="s">
        <v>828</v>
      </c>
      <c r="CJ20" s="98" t="s">
        <v>599</v>
      </c>
      <c r="CK20" s="85"/>
      <c r="CR20" s="153"/>
      <c r="CS20" s="153" t="s">
        <v>628</v>
      </c>
      <c r="CT20" s="50" t="s">
        <v>602</v>
      </c>
      <c r="CU20" s="41"/>
      <c r="CW20" s="153"/>
      <c r="CX20" s="153" t="s">
        <v>107</v>
      </c>
      <c r="CY20" s="96" t="s">
        <v>599</v>
      </c>
      <c r="CZ20" s="41"/>
      <c r="DB20" s="153"/>
      <c r="DC20" s="153" t="s">
        <v>828</v>
      </c>
      <c r="DD20" s="96" t="s">
        <v>599</v>
      </c>
      <c r="DE20" s="41"/>
      <c r="DG20" s="154"/>
      <c r="DH20" s="154" t="s">
        <v>719</v>
      </c>
      <c r="DI20" s="95" t="s">
        <v>599</v>
      </c>
      <c r="DJ20" s="62"/>
      <c r="DL20" s="153"/>
      <c r="DM20" s="153" t="s">
        <v>719</v>
      </c>
      <c r="DN20" s="96" t="s">
        <v>599</v>
      </c>
      <c r="DO20" s="41"/>
    </row>
    <row r="21" spans="8:119">
      <c r="H21" s="154"/>
      <c r="I21" s="154" t="s">
        <v>606</v>
      </c>
      <c r="J21" s="77" t="s">
        <v>602</v>
      </c>
      <c r="K21" s="61"/>
      <c r="X21" s="153"/>
      <c r="Y21" s="153" t="s">
        <v>601</v>
      </c>
      <c r="Z21" s="96" t="s">
        <v>599</v>
      </c>
      <c r="AA21" s="41"/>
      <c r="AC21" s="153"/>
      <c r="AD21" s="153" t="s">
        <v>725</v>
      </c>
      <c r="AE21" s="96" t="s">
        <v>599</v>
      </c>
      <c r="AF21" s="42"/>
      <c r="AO21" s="180"/>
      <c r="AP21" s="179" t="s">
        <v>229</v>
      </c>
      <c r="AQ21" s="166" t="s">
        <v>599</v>
      </c>
      <c r="AR21" s="176"/>
      <c r="AT21" s="153"/>
      <c r="AU21" s="153" t="s">
        <v>719</v>
      </c>
      <c r="AV21" s="96" t="s">
        <v>599</v>
      </c>
      <c r="AW21" s="42"/>
      <c r="BN21" s="153"/>
      <c r="BO21" s="182" t="s">
        <v>725</v>
      </c>
      <c r="BP21" s="166" t="s">
        <v>599</v>
      </c>
      <c r="BQ21" s="158"/>
      <c r="BS21" s="153"/>
      <c r="BT21" s="153" t="s">
        <v>619</v>
      </c>
      <c r="BU21" s="96" t="s">
        <v>599</v>
      </c>
      <c r="BV21" s="42"/>
      <c r="BX21" s="153"/>
      <c r="BY21" s="153" t="s">
        <v>619</v>
      </c>
      <c r="BZ21" s="96" t="s">
        <v>599</v>
      </c>
      <c r="CA21" s="42"/>
      <c r="CC21" s="153"/>
      <c r="CD21" s="153" t="s">
        <v>940</v>
      </c>
      <c r="CE21" s="96" t="s">
        <v>599</v>
      </c>
      <c r="CF21" s="42"/>
      <c r="CH21" s="185"/>
      <c r="CI21" s="185" t="s">
        <v>616</v>
      </c>
      <c r="CJ21" s="98" t="s">
        <v>599</v>
      </c>
      <c r="CK21" s="84"/>
      <c r="CR21" s="153"/>
      <c r="CS21" s="153" t="s">
        <v>266</v>
      </c>
      <c r="CT21" s="96" t="s">
        <v>599</v>
      </c>
      <c r="CU21" s="43" t="s">
        <v>973</v>
      </c>
      <c r="CW21" s="153"/>
      <c r="CX21" s="153" t="s">
        <v>719</v>
      </c>
      <c r="CY21" s="96" t="s">
        <v>599</v>
      </c>
      <c r="CZ21" s="42"/>
      <c r="DB21" s="153"/>
      <c r="DC21" s="153" t="s">
        <v>106</v>
      </c>
      <c r="DD21" s="96" t="s">
        <v>599</v>
      </c>
      <c r="DE21" s="43" t="s">
        <v>745</v>
      </c>
      <c r="DG21" s="154"/>
      <c r="DH21" s="154" t="s">
        <v>720</v>
      </c>
      <c r="DI21" s="77" t="s">
        <v>602</v>
      </c>
      <c r="DJ21" s="63" t="s">
        <v>1014</v>
      </c>
      <c r="DL21" s="153"/>
      <c r="DM21" s="153" t="s">
        <v>720</v>
      </c>
      <c r="DN21" s="50" t="s">
        <v>602</v>
      </c>
      <c r="DO21" s="43" t="s">
        <v>1014</v>
      </c>
    </row>
    <row r="22" spans="8:119">
      <c r="H22" s="154"/>
      <c r="I22" s="154" t="s">
        <v>656</v>
      </c>
      <c r="J22" s="77" t="s">
        <v>602</v>
      </c>
      <c r="K22" s="64" t="s">
        <v>657</v>
      </c>
      <c r="X22" s="153"/>
      <c r="Y22" s="153" t="s">
        <v>705</v>
      </c>
      <c r="Z22" s="96" t="s">
        <v>599</v>
      </c>
      <c r="AA22" s="42"/>
      <c r="AC22" s="153"/>
      <c r="AD22" s="153" t="s">
        <v>639</v>
      </c>
      <c r="AE22" s="96" t="s">
        <v>599</v>
      </c>
      <c r="AF22" s="41"/>
      <c r="AO22" s="180"/>
      <c r="AP22" s="179" t="s">
        <v>644</v>
      </c>
      <c r="AQ22" s="166" t="s">
        <v>599</v>
      </c>
      <c r="AR22" s="176"/>
      <c r="AT22" s="153"/>
      <c r="AU22" s="153" t="s">
        <v>720</v>
      </c>
      <c r="AV22" s="50" t="s">
        <v>602</v>
      </c>
      <c r="AW22" s="41" t="s">
        <v>829</v>
      </c>
      <c r="BN22" s="153"/>
      <c r="BO22" s="182" t="s">
        <v>621</v>
      </c>
      <c r="BP22" s="166" t="s">
        <v>599</v>
      </c>
      <c r="BQ22" s="160"/>
      <c r="BS22" s="153"/>
      <c r="BT22" s="153" t="s">
        <v>598</v>
      </c>
      <c r="BU22" s="96" t="s">
        <v>599</v>
      </c>
      <c r="BV22" s="41"/>
      <c r="BX22" s="153"/>
      <c r="BY22" s="153" t="s">
        <v>598</v>
      </c>
      <c r="BZ22" s="96" t="s">
        <v>599</v>
      </c>
      <c r="CA22" s="41"/>
      <c r="CC22" s="153"/>
      <c r="CD22" s="153" t="s">
        <v>760</v>
      </c>
      <c r="CE22" s="96" t="s">
        <v>599</v>
      </c>
      <c r="CF22" s="41"/>
      <c r="CH22" s="185"/>
      <c r="CI22" s="185" t="s">
        <v>617</v>
      </c>
      <c r="CJ22" s="98" t="s">
        <v>599</v>
      </c>
      <c r="CK22" s="85"/>
      <c r="CR22" s="153"/>
      <c r="CS22" s="153" t="s">
        <v>647</v>
      </c>
      <c r="CT22" s="96" t="s">
        <v>599</v>
      </c>
      <c r="CU22" s="41"/>
      <c r="CW22" s="153"/>
      <c r="CX22" s="153" t="s">
        <v>983</v>
      </c>
      <c r="CY22" s="96" t="s">
        <v>599</v>
      </c>
      <c r="CZ22" s="41"/>
      <c r="DB22" s="153"/>
      <c r="DC22" s="153" t="s">
        <v>616</v>
      </c>
      <c r="DD22" s="96" t="s">
        <v>599</v>
      </c>
      <c r="DE22" s="41"/>
      <c r="DG22" s="154"/>
      <c r="DH22" s="154" t="s">
        <v>755</v>
      </c>
      <c r="DI22" s="77" t="s">
        <v>602</v>
      </c>
      <c r="DJ22" s="64" t="s">
        <v>1015</v>
      </c>
      <c r="DL22" s="153"/>
      <c r="DM22" s="153" t="s">
        <v>755</v>
      </c>
      <c r="DN22" s="50" t="s">
        <v>602</v>
      </c>
      <c r="DO22" s="51" t="s">
        <v>1015</v>
      </c>
    </row>
    <row r="23" spans="8:119">
      <c r="H23" s="154"/>
      <c r="I23" s="154" t="s">
        <v>628</v>
      </c>
      <c r="J23" s="77" t="s">
        <v>602</v>
      </c>
      <c r="K23" s="63" t="s">
        <v>658</v>
      </c>
      <c r="X23" s="153"/>
      <c r="Y23" s="153" t="s">
        <v>143</v>
      </c>
      <c r="Z23" s="96" t="s">
        <v>599</v>
      </c>
      <c r="AA23" s="51" t="s">
        <v>724</v>
      </c>
      <c r="AC23" s="153"/>
      <c r="AD23" s="153" t="s">
        <v>640</v>
      </c>
      <c r="AE23" s="96" t="s">
        <v>599</v>
      </c>
      <c r="AF23" s="42"/>
      <c r="AO23" s="180"/>
      <c r="AP23" s="179" t="s">
        <v>231</v>
      </c>
      <c r="AQ23" s="166" t="s">
        <v>599</v>
      </c>
      <c r="AR23" s="176"/>
      <c r="AT23" s="153"/>
      <c r="AU23" s="153" t="s">
        <v>755</v>
      </c>
      <c r="AV23" s="96" t="s">
        <v>599</v>
      </c>
      <c r="AW23" s="42"/>
      <c r="BN23" s="153"/>
      <c r="BO23" s="182" t="s">
        <v>639</v>
      </c>
      <c r="BP23" s="166" t="s">
        <v>599</v>
      </c>
      <c r="BQ23" s="158"/>
      <c r="BS23" s="153"/>
      <c r="BT23" s="153" t="s">
        <v>722</v>
      </c>
      <c r="BU23" s="96" t="s">
        <v>599</v>
      </c>
      <c r="BV23" s="42"/>
      <c r="BX23" s="153"/>
      <c r="BY23" s="153" t="s">
        <v>722</v>
      </c>
      <c r="BZ23" s="96" t="s">
        <v>599</v>
      </c>
      <c r="CA23" s="42"/>
      <c r="CC23" s="153"/>
      <c r="CD23" s="153" t="s">
        <v>229</v>
      </c>
      <c r="CE23" s="96" t="s">
        <v>599</v>
      </c>
      <c r="CF23" s="43" t="s">
        <v>930</v>
      </c>
      <c r="CH23" s="185"/>
      <c r="CI23" s="185" t="s">
        <v>107</v>
      </c>
      <c r="CJ23" s="98" t="s">
        <v>599</v>
      </c>
      <c r="CK23" s="84"/>
      <c r="CR23" s="153"/>
      <c r="CS23" s="153" t="s">
        <v>747</v>
      </c>
      <c r="CT23" s="96" t="s">
        <v>599</v>
      </c>
      <c r="CU23" s="42"/>
      <c r="CW23" s="153"/>
      <c r="CX23" s="153" t="s">
        <v>619</v>
      </c>
      <c r="CY23" s="96" t="s">
        <v>599</v>
      </c>
      <c r="CZ23" s="42"/>
      <c r="DB23" s="153"/>
      <c r="DC23" s="153" t="s">
        <v>617</v>
      </c>
      <c r="DD23" s="96" t="s">
        <v>599</v>
      </c>
      <c r="DE23" s="42"/>
      <c r="DG23" s="154"/>
      <c r="DH23" s="154" t="s">
        <v>983</v>
      </c>
      <c r="DI23" s="77" t="s">
        <v>602</v>
      </c>
      <c r="DJ23" s="61"/>
      <c r="DL23" s="153"/>
      <c r="DM23" s="153" t="s">
        <v>983</v>
      </c>
      <c r="DN23" s="50" t="s">
        <v>602</v>
      </c>
      <c r="DO23" s="42"/>
    </row>
    <row r="24" spans="8:119">
      <c r="H24" s="154"/>
      <c r="I24" s="154" t="s">
        <v>265</v>
      </c>
      <c r="J24" s="95" t="s">
        <v>599</v>
      </c>
      <c r="K24" s="62"/>
      <c r="X24" s="153"/>
      <c r="Y24" s="153" t="s">
        <v>725</v>
      </c>
      <c r="Z24" s="96" t="s">
        <v>599</v>
      </c>
      <c r="AA24" s="42"/>
      <c r="AC24" s="153"/>
      <c r="AD24" s="153" t="s">
        <v>756</v>
      </c>
      <c r="AE24" s="96" t="s">
        <v>599</v>
      </c>
      <c r="AF24" s="41"/>
      <c r="AO24" s="180"/>
      <c r="AP24" s="179" t="s">
        <v>645</v>
      </c>
      <c r="AQ24" s="166" t="s">
        <v>599</v>
      </c>
      <c r="AR24" s="176"/>
      <c r="AT24" s="153"/>
      <c r="AU24" s="153" t="s">
        <v>619</v>
      </c>
      <c r="AV24" s="96" t="s">
        <v>599</v>
      </c>
      <c r="AW24" s="41"/>
      <c r="BN24" s="153"/>
      <c r="BO24" s="182" t="s">
        <v>171</v>
      </c>
      <c r="BP24" s="166" t="s">
        <v>599</v>
      </c>
      <c r="BQ24" s="160"/>
      <c r="BS24" s="153"/>
      <c r="BT24" s="153" t="s">
        <v>601</v>
      </c>
      <c r="BU24" s="96" t="s">
        <v>599</v>
      </c>
      <c r="BV24" s="41"/>
      <c r="BX24" s="153"/>
      <c r="BY24" s="153" t="s">
        <v>601</v>
      </c>
      <c r="BZ24" s="96" t="s">
        <v>599</v>
      </c>
      <c r="CA24" s="41"/>
      <c r="CC24" s="153"/>
      <c r="CD24" s="153" t="s">
        <v>624</v>
      </c>
      <c r="CE24" s="50" t="s">
        <v>602</v>
      </c>
      <c r="CF24" s="41"/>
      <c r="CH24" s="185"/>
      <c r="CI24" s="185" t="s">
        <v>719</v>
      </c>
      <c r="CJ24" s="98" t="s">
        <v>599</v>
      </c>
      <c r="CK24" s="85"/>
      <c r="CR24" s="153"/>
      <c r="CS24" s="153" t="s">
        <v>609</v>
      </c>
      <c r="CT24" s="96" t="s">
        <v>599</v>
      </c>
      <c r="CU24" s="41"/>
      <c r="CW24" s="153"/>
      <c r="CX24" s="153" t="s">
        <v>598</v>
      </c>
      <c r="CY24" s="96" t="s">
        <v>599</v>
      </c>
      <c r="CZ24" s="41"/>
      <c r="DB24" s="153"/>
      <c r="DC24" s="153" t="s">
        <v>981</v>
      </c>
      <c r="DD24" s="96" t="s">
        <v>599</v>
      </c>
      <c r="DE24" s="41"/>
      <c r="DG24" s="154"/>
      <c r="DH24" s="154" t="s">
        <v>619</v>
      </c>
      <c r="DI24" s="95" t="s">
        <v>599</v>
      </c>
      <c r="DJ24" s="62"/>
      <c r="DL24" s="153"/>
      <c r="DM24" s="153" t="s">
        <v>619</v>
      </c>
      <c r="DN24" s="96" t="s">
        <v>599</v>
      </c>
      <c r="DO24" s="41"/>
    </row>
    <row r="25" spans="8:119">
      <c r="H25" s="154"/>
      <c r="I25" s="154" t="s">
        <v>266</v>
      </c>
      <c r="J25" s="95" t="s">
        <v>599</v>
      </c>
      <c r="K25" s="63" t="s">
        <v>659</v>
      </c>
      <c r="X25" s="153"/>
      <c r="Y25" s="153" t="s">
        <v>621</v>
      </c>
      <c r="Z25" s="96" t="s">
        <v>599</v>
      </c>
      <c r="AA25" s="51" t="s">
        <v>726</v>
      </c>
      <c r="AC25" s="153"/>
      <c r="AD25" s="153" t="s">
        <v>171</v>
      </c>
      <c r="AE25" s="50" t="s">
        <v>602</v>
      </c>
      <c r="AF25" s="43" t="s">
        <v>757</v>
      </c>
      <c r="AO25" s="180"/>
      <c r="AP25" s="179" t="s">
        <v>606</v>
      </c>
      <c r="AQ25" s="166" t="s">
        <v>599</v>
      </c>
      <c r="AR25" s="176"/>
      <c r="AT25" s="153"/>
      <c r="AU25" s="153" t="s">
        <v>598</v>
      </c>
      <c r="AV25" s="96" t="s">
        <v>599</v>
      </c>
      <c r="AW25" s="42"/>
      <c r="BN25" s="153"/>
      <c r="BO25" s="182" t="s">
        <v>830</v>
      </c>
      <c r="BP25" s="166" t="s">
        <v>599</v>
      </c>
      <c r="BQ25" s="158"/>
      <c r="BS25" s="153"/>
      <c r="BT25" s="153" t="s">
        <v>705</v>
      </c>
      <c r="BU25" s="96" t="s">
        <v>599</v>
      </c>
      <c r="BV25" s="42"/>
      <c r="BX25" s="153"/>
      <c r="BY25" s="153" t="s">
        <v>705</v>
      </c>
      <c r="BZ25" s="96" t="s">
        <v>599</v>
      </c>
      <c r="CA25" s="42"/>
      <c r="CC25" s="153"/>
      <c r="CD25" s="153" t="s">
        <v>941</v>
      </c>
      <c r="CE25" s="96" t="s">
        <v>599</v>
      </c>
      <c r="CF25" s="42"/>
      <c r="CH25" s="185"/>
      <c r="CI25" s="185" t="s">
        <v>720</v>
      </c>
      <c r="CJ25" s="88" t="s">
        <v>602</v>
      </c>
      <c r="CK25" s="43" t="s">
        <v>955</v>
      </c>
      <c r="CR25" s="153"/>
      <c r="CS25" s="153" t="s">
        <v>817</v>
      </c>
      <c r="CT25" s="96" t="s">
        <v>599</v>
      </c>
      <c r="CU25" s="42"/>
      <c r="CW25" s="153"/>
      <c r="CX25" s="153" t="s">
        <v>722</v>
      </c>
      <c r="CY25" s="96" t="s">
        <v>599</v>
      </c>
      <c r="CZ25" s="42"/>
      <c r="DB25" s="153"/>
      <c r="DC25" s="153" t="s">
        <v>107</v>
      </c>
      <c r="DD25" s="96" t="s">
        <v>599</v>
      </c>
      <c r="DE25" s="42"/>
      <c r="DG25" s="154"/>
      <c r="DH25" s="154" t="s">
        <v>598</v>
      </c>
      <c r="DI25" s="95" t="s">
        <v>599</v>
      </c>
      <c r="DJ25" s="61"/>
      <c r="DL25" s="153"/>
      <c r="DM25" s="153" t="s">
        <v>598</v>
      </c>
      <c r="DN25" s="96" t="s">
        <v>599</v>
      </c>
      <c r="DO25" s="42"/>
    </row>
    <row r="26" spans="8:119">
      <c r="H26" s="154"/>
      <c r="I26" s="154" t="s">
        <v>660</v>
      </c>
      <c r="J26" s="77" t="s">
        <v>602</v>
      </c>
      <c r="K26" s="64" t="s">
        <v>661</v>
      </c>
      <c r="X26" s="153"/>
      <c r="Y26" s="153" t="s">
        <v>639</v>
      </c>
      <c r="Z26" s="96" t="s">
        <v>599</v>
      </c>
      <c r="AA26" s="43" t="s">
        <v>727</v>
      </c>
      <c r="AC26" s="153"/>
      <c r="AD26" s="153" t="s">
        <v>622</v>
      </c>
      <c r="AE26" s="96" t="s">
        <v>599</v>
      </c>
      <c r="AF26" s="41"/>
      <c r="AO26" s="180"/>
      <c r="AP26" s="179" t="s">
        <v>656</v>
      </c>
      <c r="AQ26" s="166" t="s">
        <v>599</v>
      </c>
      <c r="AR26" s="176"/>
      <c r="AT26" s="153"/>
      <c r="AU26" s="153" t="s">
        <v>722</v>
      </c>
      <c r="AV26" s="96" t="s">
        <v>599</v>
      </c>
      <c r="AW26" s="41"/>
      <c r="BN26" s="153"/>
      <c r="BO26" s="182" t="s">
        <v>622</v>
      </c>
      <c r="BP26" s="166" t="s">
        <v>599</v>
      </c>
      <c r="BQ26" s="160"/>
      <c r="BS26" s="153"/>
      <c r="BT26" s="153" t="s">
        <v>143</v>
      </c>
      <c r="BU26" s="96" t="s">
        <v>599</v>
      </c>
      <c r="BV26" s="51" t="s">
        <v>780</v>
      </c>
      <c r="BX26" s="153"/>
      <c r="BY26" s="153" t="s">
        <v>143</v>
      </c>
      <c r="BZ26" s="96" t="s">
        <v>599</v>
      </c>
      <c r="CA26" s="41"/>
      <c r="CC26" s="153"/>
      <c r="CD26" s="153" t="s">
        <v>942</v>
      </c>
      <c r="CE26" s="96" t="s">
        <v>599</v>
      </c>
      <c r="CF26" s="41"/>
      <c r="CH26" s="185"/>
      <c r="CI26" s="185" t="s">
        <v>755</v>
      </c>
      <c r="CJ26" s="98" t="s">
        <v>599</v>
      </c>
      <c r="CK26" s="85"/>
      <c r="CR26" s="153"/>
      <c r="CS26" s="153" t="s">
        <v>836</v>
      </c>
      <c r="CT26" s="96" t="s">
        <v>599</v>
      </c>
      <c r="CU26" s="41"/>
      <c r="CW26" s="153"/>
      <c r="CX26" s="153" t="s">
        <v>601</v>
      </c>
      <c r="CY26" s="96" t="s">
        <v>599</v>
      </c>
      <c r="CZ26" s="41"/>
      <c r="DB26" s="153"/>
      <c r="DC26" s="153" t="s">
        <v>719</v>
      </c>
      <c r="DD26" s="96" t="s">
        <v>599</v>
      </c>
      <c r="DE26" s="51" t="s">
        <v>1000</v>
      </c>
      <c r="DG26" s="154"/>
      <c r="DH26" s="154" t="s">
        <v>722</v>
      </c>
      <c r="DI26" s="95" t="s">
        <v>599</v>
      </c>
      <c r="DJ26" s="62"/>
      <c r="DL26" s="153"/>
      <c r="DM26" s="153" t="s">
        <v>722</v>
      </c>
      <c r="DN26" s="96" t="s">
        <v>599</v>
      </c>
      <c r="DO26" s="41"/>
    </row>
    <row r="27" spans="8:119">
      <c r="H27" s="154"/>
      <c r="I27" s="154" t="s">
        <v>607</v>
      </c>
      <c r="J27" s="95" t="s">
        <v>599</v>
      </c>
      <c r="K27" s="61"/>
      <c r="X27" s="153"/>
      <c r="Y27" s="153" t="s">
        <v>728</v>
      </c>
      <c r="Z27" s="50" t="s">
        <v>602</v>
      </c>
      <c r="AA27" s="51" t="s">
        <v>729</v>
      </c>
      <c r="AC27" s="153"/>
      <c r="AD27" s="153" t="s">
        <v>643</v>
      </c>
      <c r="AE27" s="96" t="s">
        <v>599</v>
      </c>
      <c r="AF27" s="42"/>
      <c r="AO27" s="180"/>
      <c r="AP27" s="179" t="s">
        <v>739</v>
      </c>
      <c r="AQ27" s="167" t="s">
        <v>602</v>
      </c>
      <c r="AR27" s="177" t="s">
        <v>2077</v>
      </c>
      <c r="AT27" s="153"/>
      <c r="AU27" s="153" t="s">
        <v>601</v>
      </c>
      <c r="AV27" s="96" t="s">
        <v>599</v>
      </c>
      <c r="AW27" s="42"/>
      <c r="BN27" s="153"/>
      <c r="BO27" s="182" t="s">
        <v>899</v>
      </c>
      <c r="BP27" s="166" t="s">
        <v>599</v>
      </c>
      <c r="BQ27" s="158"/>
      <c r="BS27" s="153"/>
      <c r="BT27" s="153" t="s">
        <v>144</v>
      </c>
      <c r="BU27" s="96" t="s">
        <v>599</v>
      </c>
      <c r="BV27" s="42"/>
      <c r="BX27" s="153"/>
      <c r="BY27" s="153" t="s">
        <v>144</v>
      </c>
      <c r="BZ27" s="96" t="s">
        <v>599</v>
      </c>
      <c r="CA27" s="42"/>
      <c r="CC27" s="153"/>
      <c r="CD27" s="153" t="s">
        <v>943</v>
      </c>
      <c r="CE27" s="96" t="s">
        <v>599</v>
      </c>
      <c r="CF27" s="42"/>
      <c r="CH27" s="185"/>
      <c r="CI27" s="185" t="s">
        <v>619</v>
      </c>
      <c r="CJ27" s="98" t="s">
        <v>599</v>
      </c>
      <c r="CK27" s="84"/>
      <c r="CR27" s="153"/>
      <c r="CS27" s="153" t="s">
        <v>948</v>
      </c>
      <c r="CT27" s="96" t="s">
        <v>599</v>
      </c>
      <c r="CU27" s="41"/>
      <c r="CW27" s="153"/>
      <c r="CX27" s="153" t="s">
        <v>143</v>
      </c>
      <c r="CY27" s="96" t="s">
        <v>599</v>
      </c>
      <c r="CZ27" s="42"/>
      <c r="DB27" s="153"/>
      <c r="DC27" s="153" t="s">
        <v>755</v>
      </c>
      <c r="DD27" s="96" t="s">
        <v>599</v>
      </c>
      <c r="DE27" s="42"/>
      <c r="DG27" s="154"/>
      <c r="DH27" s="154" t="s">
        <v>601</v>
      </c>
      <c r="DI27" s="95" t="s">
        <v>599</v>
      </c>
      <c r="DJ27" s="61"/>
      <c r="DL27" s="153"/>
      <c r="DM27" s="153" t="s">
        <v>601</v>
      </c>
      <c r="DN27" s="96" t="s">
        <v>599</v>
      </c>
      <c r="DO27" s="42"/>
    </row>
    <row r="28" spans="8:119">
      <c r="H28" s="154"/>
      <c r="I28" s="154" t="s">
        <v>630</v>
      </c>
      <c r="J28" s="95" t="s">
        <v>599</v>
      </c>
      <c r="K28" s="62"/>
      <c r="X28" s="153"/>
      <c r="Y28" s="153" t="s">
        <v>171</v>
      </c>
      <c r="Z28" s="96" t="s">
        <v>599</v>
      </c>
      <c r="AA28" s="42"/>
      <c r="AC28" s="153"/>
      <c r="AD28" s="153" t="s">
        <v>758</v>
      </c>
      <c r="AE28" s="96" t="s">
        <v>599</v>
      </c>
      <c r="AF28" s="41"/>
      <c r="AO28" s="180"/>
      <c r="AP28" s="179" t="s">
        <v>740</v>
      </c>
      <c r="AQ28" s="166" t="s">
        <v>599</v>
      </c>
      <c r="AR28" s="177" t="s">
        <v>2078</v>
      </c>
      <c r="AT28" s="153"/>
      <c r="AU28" s="153" t="s">
        <v>705</v>
      </c>
      <c r="AV28" s="96" t="s">
        <v>599</v>
      </c>
      <c r="AW28" s="41"/>
      <c r="BN28" s="153"/>
      <c r="BO28" s="182" t="s">
        <v>731</v>
      </c>
      <c r="BP28" s="167" t="s">
        <v>602</v>
      </c>
      <c r="BQ28" s="159" t="s">
        <v>2073</v>
      </c>
      <c r="BS28" s="153"/>
      <c r="BT28" s="153" t="s">
        <v>725</v>
      </c>
      <c r="BU28" s="96" t="s">
        <v>599</v>
      </c>
      <c r="BV28" s="51" t="s">
        <v>910</v>
      </c>
      <c r="BX28" s="153"/>
      <c r="BY28" s="153" t="s">
        <v>725</v>
      </c>
      <c r="BZ28" s="96" t="s">
        <v>599</v>
      </c>
      <c r="CA28" s="41"/>
      <c r="CC28" s="153"/>
      <c r="CD28" s="153" t="s">
        <v>944</v>
      </c>
      <c r="CE28" s="50" t="s">
        <v>602</v>
      </c>
      <c r="CF28" s="41"/>
      <c r="CH28" s="185"/>
      <c r="CI28" s="185" t="s">
        <v>598</v>
      </c>
      <c r="CJ28" s="98" t="s">
        <v>599</v>
      </c>
      <c r="CK28" s="85"/>
      <c r="CW28" s="153"/>
      <c r="CX28" s="153" t="s">
        <v>725</v>
      </c>
      <c r="CY28" s="96" t="s">
        <v>599</v>
      </c>
      <c r="CZ28" s="41"/>
      <c r="DB28" s="153"/>
      <c r="DC28" s="153" t="s">
        <v>619</v>
      </c>
      <c r="DD28" s="96" t="s">
        <v>599</v>
      </c>
      <c r="DE28" s="41"/>
      <c r="DG28" s="154"/>
      <c r="DH28" s="154" t="s">
        <v>705</v>
      </c>
      <c r="DI28" s="77" t="s">
        <v>602</v>
      </c>
      <c r="DJ28" s="62"/>
      <c r="DL28" s="153"/>
      <c r="DM28" s="153" t="s">
        <v>705</v>
      </c>
      <c r="DN28" s="50" t="s">
        <v>602</v>
      </c>
      <c r="DO28" s="41"/>
    </row>
    <row r="29" spans="8:119">
      <c r="H29" s="154"/>
      <c r="I29" s="154" t="s">
        <v>302</v>
      </c>
      <c r="J29" s="95" t="s">
        <v>599</v>
      </c>
      <c r="K29" s="61"/>
      <c r="X29" s="153"/>
      <c r="Y29" s="153" t="s">
        <v>622</v>
      </c>
      <c r="Z29" s="96" t="s">
        <v>599</v>
      </c>
      <c r="AA29" s="41"/>
      <c r="AC29" s="153"/>
      <c r="AD29" s="153" t="s">
        <v>731</v>
      </c>
      <c r="AE29" s="96" t="s">
        <v>599</v>
      </c>
      <c r="AF29" s="42"/>
      <c r="AO29" s="180"/>
      <c r="AP29" s="179" t="s">
        <v>647</v>
      </c>
      <c r="AQ29" s="166" t="s">
        <v>599</v>
      </c>
      <c r="AR29" s="177" t="s">
        <v>2079</v>
      </c>
      <c r="AT29" s="153"/>
      <c r="AU29" s="153" t="s">
        <v>144</v>
      </c>
      <c r="AV29" s="96" t="s">
        <v>599</v>
      </c>
      <c r="AW29" s="42"/>
      <c r="BN29" s="153"/>
      <c r="BO29" s="182" t="s">
        <v>900</v>
      </c>
      <c r="BP29" s="166" t="s">
        <v>599</v>
      </c>
      <c r="BQ29" s="158"/>
      <c r="BS29" s="153"/>
      <c r="BT29" s="153" t="s">
        <v>621</v>
      </c>
      <c r="BU29" s="96" t="s">
        <v>599</v>
      </c>
      <c r="BV29" s="42"/>
      <c r="BX29" s="153"/>
      <c r="BY29" s="153" t="s">
        <v>621</v>
      </c>
      <c r="BZ29" s="96" t="s">
        <v>599</v>
      </c>
      <c r="CA29" s="42"/>
      <c r="CC29" s="153"/>
      <c r="CD29" s="153" t="s">
        <v>762</v>
      </c>
      <c r="CE29" s="96" t="s">
        <v>599</v>
      </c>
      <c r="CF29" s="42"/>
      <c r="CH29" s="185"/>
      <c r="CI29" s="185" t="s">
        <v>722</v>
      </c>
      <c r="CJ29" s="98" t="s">
        <v>599</v>
      </c>
      <c r="CK29" s="84"/>
      <c r="CW29" s="153"/>
      <c r="CX29" s="153" t="s">
        <v>639</v>
      </c>
      <c r="CY29" s="96" t="s">
        <v>599</v>
      </c>
      <c r="CZ29" s="42"/>
      <c r="DB29" s="153"/>
      <c r="DC29" s="153" t="s">
        <v>598</v>
      </c>
      <c r="DD29" s="96" t="s">
        <v>599</v>
      </c>
      <c r="DE29" s="42"/>
      <c r="DG29" s="154"/>
      <c r="DH29" s="154" t="s">
        <v>144</v>
      </c>
      <c r="DI29" s="77" t="s">
        <v>602</v>
      </c>
      <c r="DJ29" s="61"/>
      <c r="DL29" s="153"/>
      <c r="DM29" s="153" t="s">
        <v>144</v>
      </c>
      <c r="DN29" s="50" t="s">
        <v>602</v>
      </c>
      <c r="DO29" s="42"/>
    </row>
    <row r="30" spans="8:119">
      <c r="H30" s="154"/>
      <c r="I30" s="154" t="s">
        <v>609</v>
      </c>
      <c r="J30" s="77" t="s">
        <v>602</v>
      </c>
      <c r="K30" s="62" t="s">
        <v>662</v>
      </c>
      <c r="X30" s="153"/>
      <c r="Y30" s="153" t="s">
        <v>173</v>
      </c>
      <c r="Z30" s="50" t="s">
        <v>602</v>
      </c>
      <c r="AA30" s="43" t="s">
        <v>730</v>
      </c>
      <c r="AC30" s="153"/>
      <c r="AD30" s="153" t="s">
        <v>734</v>
      </c>
      <c r="AE30" s="96" t="s">
        <v>599</v>
      </c>
      <c r="AF30" s="41"/>
      <c r="AO30" s="180"/>
      <c r="AP30" s="179" t="s">
        <v>629</v>
      </c>
      <c r="AQ30" s="167" t="s">
        <v>602</v>
      </c>
      <c r="AR30" s="177" t="s">
        <v>2080</v>
      </c>
      <c r="AT30" s="153"/>
      <c r="AU30" s="153" t="s">
        <v>725</v>
      </c>
      <c r="AV30" s="96" t="s">
        <v>599</v>
      </c>
      <c r="AW30" s="41"/>
      <c r="BN30" s="153"/>
      <c r="BO30" s="182" t="s">
        <v>732</v>
      </c>
      <c r="BP30" s="166" t="s">
        <v>599</v>
      </c>
      <c r="BQ30" s="160"/>
      <c r="BS30" s="153"/>
      <c r="BT30" s="153" t="s">
        <v>639</v>
      </c>
      <c r="BU30" s="96" t="s">
        <v>599</v>
      </c>
      <c r="BV30" s="41"/>
      <c r="BX30" s="153"/>
      <c r="BY30" s="153" t="s">
        <v>639</v>
      </c>
      <c r="BZ30" s="96" t="s">
        <v>599</v>
      </c>
      <c r="CA30" s="51" t="s">
        <v>929</v>
      </c>
      <c r="CC30" s="153"/>
      <c r="CD30" s="153" t="s">
        <v>763</v>
      </c>
      <c r="CE30" s="96" t="s">
        <v>599</v>
      </c>
      <c r="CF30" s="41"/>
      <c r="CH30" s="185"/>
      <c r="CI30" s="185" t="s">
        <v>601</v>
      </c>
      <c r="CJ30" s="98" t="s">
        <v>599</v>
      </c>
      <c r="CK30" s="51" t="s">
        <v>956</v>
      </c>
      <c r="CW30" s="153"/>
      <c r="CX30" s="153" t="s">
        <v>640</v>
      </c>
      <c r="CY30" s="96" t="s">
        <v>599</v>
      </c>
      <c r="CZ30" s="41"/>
      <c r="DB30" s="153"/>
      <c r="DC30" s="153" t="s">
        <v>722</v>
      </c>
      <c r="DD30" s="96" t="s">
        <v>599</v>
      </c>
      <c r="DE30" s="41"/>
      <c r="DG30" s="154"/>
      <c r="DH30" s="154" t="s">
        <v>725</v>
      </c>
      <c r="DI30" s="95" t="s">
        <v>599</v>
      </c>
      <c r="DJ30" s="64" t="s">
        <v>1016</v>
      </c>
      <c r="DL30" s="153"/>
      <c r="DM30" s="153" t="s">
        <v>725</v>
      </c>
      <c r="DN30" s="96" t="s">
        <v>599</v>
      </c>
      <c r="DO30" s="51" t="s">
        <v>1016</v>
      </c>
    </row>
    <row r="31" spans="8:119">
      <c r="H31" s="154"/>
      <c r="I31" s="154" t="s">
        <v>648</v>
      </c>
      <c r="J31" s="95" t="s">
        <v>599</v>
      </c>
      <c r="K31" s="61"/>
      <c r="X31" s="153"/>
      <c r="Y31" s="153" t="s">
        <v>731</v>
      </c>
      <c r="Z31" s="96" t="s">
        <v>599</v>
      </c>
      <c r="AA31" s="41"/>
      <c r="AC31" s="153"/>
      <c r="AD31" s="153" t="s">
        <v>759</v>
      </c>
      <c r="AE31" s="96" t="s">
        <v>599</v>
      </c>
      <c r="AF31" s="42"/>
      <c r="AO31" s="180"/>
      <c r="AP31" s="179" t="s">
        <v>607</v>
      </c>
      <c r="AQ31" s="166" t="s">
        <v>599</v>
      </c>
      <c r="AR31" s="176"/>
      <c r="AT31" s="153"/>
      <c r="AU31" s="153" t="s">
        <v>621</v>
      </c>
      <c r="AV31" s="96" t="s">
        <v>599</v>
      </c>
      <c r="AW31" s="42"/>
      <c r="BN31" s="153"/>
      <c r="BO31" s="182" t="s">
        <v>198</v>
      </c>
      <c r="BP31" s="166" t="s">
        <v>599</v>
      </c>
      <c r="BQ31" s="158"/>
      <c r="BS31" s="153"/>
      <c r="BT31" s="153" t="s">
        <v>640</v>
      </c>
      <c r="BU31" s="96" t="s">
        <v>599</v>
      </c>
      <c r="BV31" s="42"/>
      <c r="BX31" s="153"/>
      <c r="BY31" s="153" t="s">
        <v>171</v>
      </c>
      <c r="BZ31" s="96" t="s">
        <v>599</v>
      </c>
      <c r="CA31" s="42"/>
      <c r="CC31" s="153"/>
      <c r="CD31" s="153" t="s">
        <v>656</v>
      </c>
      <c r="CE31" s="96" t="s">
        <v>599</v>
      </c>
      <c r="CF31" s="42"/>
      <c r="CH31" s="185"/>
      <c r="CI31" s="185" t="s">
        <v>654</v>
      </c>
      <c r="CJ31" s="98" t="s">
        <v>599</v>
      </c>
      <c r="CK31" s="84"/>
      <c r="CW31" s="153"/>
      <c r="CX31" s="153" t="s">
        <v>171</v>
      </c>
      <c r="CY31" s="96" t="s">
        <v>599</v>
      </c>
      <c r="CZ31" s="42"/>
      <c r="DB31" s="153"/>
      <c r="DC31" s="153" t="s">
        <v>601</v>
      </c>
      <c r="DD31" s="96" t="s">
        <v>599</v>
      </c>
      <c r="DE31" s="42"/>
      <c r="DG31" s="154"/>
      <c r="DH31" s="154" t="s">
        <v>639</v>
      </c>
      <c r="DI31" s="95" t="s">
        <v>599</v>
      </c>
      <c r="DJ31" s="61"/>
      <c r="DL31" s="153"/>
      <c r="DM31" s="153" t="s">
        <v>639</v>
      </c>
      <c r="DN31" s="96" t="s">
        <v>599</v>
      </c>
      <c r="DO31" s="42"/>
    </row>
    <row r="32" spans="8:119">
      <c r="H32" s="154"/>
      <c r="I32" s="154" t="s">
        <v>649</v>
      </c>
      <c r="J32" s="95" t="s">
        <v>599</v>
      </c>
      <c r="K32" s="62"/>
      <c r="X32" s="153"/>
      <c r="Y32" s="153" t="s">
        <v>732</v>
      </c>
      <c r="Z32" s="96" t="s">
        <v>599</v>
      </c>
      <c r="AA32" s="43" t="s">
        <v>733</v>
      </c>
      <c r="AC32" s="153"/>
      <c r="AD32" s="153" t="s">
        <v>760</v>
      </c>
      <c r="AE32" s="96" t="s">
        <v>599</v>
      </c>
      <c r="AF32" s="41"/>
      <c r="AO32" s="180"/>
      <c r="AP32" s="179" t="s">
        <v>302</v>
      </c>
      <c r="AQ32" s="166" t="s">
        <v>599</v>
      </c>
      <c r="AR32" s="176"/>
      <c r="AT32" s="153"/>
      <c r="AU32" s="153" t="s">
        <v>639</v>
      </c>
      <c r="AV32" s="96" t="s">
        <v>599</v>
      </c>
      <c r="AW32" s="41"/>
      <c r="BN32" s="153"/>
      <c r="BO32" s="182" t="s">
        <v>229</v>
      </c>
      <c r="BP32" s="166" t="s">
        <v>599</v>
      </c>
      <c r="BQ32" s="160"/>
      <c r="BS32" s="153"/>
      <c r="BT32" s="153" t="s">
        <v>171</v>
      </c>
      <c r="BU32" s="96" t="s">
        <v>599</v>
      </c>
      <c r="BV32" s="41"/>
      <c r="BX32" s="153"/>
      <c r="BY32" s="153" t="s">
        <v>172</v>
      </c>
      <c r="BZ32" s="96" t="s">
        <v>599</v>
      </c>
      <c r="CA32" s="41"/>
      <c r="CC32" s="153"/>
      <c r="CD32" s="153" t="s">
        <v>740</v>
      </c>
      <c r="CE32" s="50" t="s">
        <v>602</v>
      </c>
      <c r="CF32" s="41"/>
      <c r="CH32" s="185"/>
      <c r="CI32" s="185" t="s">
        <v>705</v>
      </c>
      <c r="CJ32" s="98" t="s">
        <v>599</v>
      </c>
      <c r="CK32" s="85"/>
      <c r="CW32" s="153"/>
      <c r="CX32" s="153" t="s">
        <v>172</v>
      </c>
      <c r="CY32" s="96" t="s">
        <v>599</v>
      </c>
      <c r="CZ32" s="41"/>
      <c r="DB32" s="153"/>
      <c r="DC32" s="153" t="s">
        <v>654</v>
      </c>
      <c r="DD32" s="96" t="s">
        <v>599</v>
      </c>
      <c r="DE32" s="41"/>
      <c r="DG32" s="154"/>
      <c r="DH32" s="154" t="s">
        <v>640</v>
      </c>
      <c r="DI32" s="95" t="s">
        <v>599</v>
      </c>
      <c r="DJ32" s="62"/>
      <c r="DL32" s="153"/>
      <c r="DM32" s="153" t="s">
        <v>640</v>
      </c>
      <c r="DN32" s="96" t="s">
        <v>599</v>
      </c>
      <c r="DO32" s="41"/>
    </row>
    <row r="33" spans="8:119">
      <c r="H33" s="154"/>
      <c r="I33" s="154" t="s">
        <v>663</v>
      </c>
      <c r="J33" s="95" t="s">
        <v>599</v>
      </c>
      <c r="K33" s="60"/>
      <c r="X33" s="153"/>
      <c r="Y33" s="153" t="s">
        <v>734</v>
      </c>
      <c r="Z33" s="96" t="s">
        <v>599</v>
      </c>
      <c r="AA33" s="41"/>
      <c r="AC33" s="153"/>
      <c r="AD33" s="153" t="s">
        <v>229</v>
      </c>
      <c r="AE33" s="96" t="s">
        <v>599</v>
      </c>
      <c r="AF33" s="42"/>
      <c r="AO33" s="180"/>
      <c r="AP33" s="179" t="s">
        <v>747</v>
      </c>
      <c r="AQ33" s="166" t="s">
        <v>599</v>
      </c>
      <c r="AR33" s="176"/>
      <c r="AT33" s="153"/>
      <c r="AU33" s="153" t="s">
        <v>830</v>
      </c>
      <c r="AV33" s="96" t="s">
        <v>599</v>
      </c>
      <c r="AW33" s="42"/>
      <c r="BN33" s="153"/>
      <c r="BO33" s="182" t="s">
        <v>644</v>
      </c>
      <c r="BP33" s="166" t="s">
        <v>599</v>
      </c>
      <c r="BQ33" s="158"/>
      <c r="BS33" s="153"/>
      <c r="BT33" s="153" t="s">
        <v>172</v>
      </c>
      <c r="BU33" s="96" t="s">
        <v>599</v>
      </c>
      <c r="BV33" s="43" t="s">
        <v>858</v>
      </c>
      <c r="BX33" s="153"/>
      <c r="BY33" s="153" t="s">
        <v>830</v>
      </c>
      <c r="BZ33" s="96" t="s">
        <v>599</v>
      </c>
      <c r="CA33" s="42"/>
      <c r="CC33" s="153"/>
      <c r="CD33" s="153" t="s">
        <v>868</v>
      </c>
      <c r="CE33" s="96" t="s">
        <v>599</v>
      </c>
      <c r="CF33" s="42"/>
      <c r="CH33" s="185"/>
      <c r="CI33" s="185" t="s">
        <v>144</v>
      </c>
      <c r="CJ33" s="98" t="s">
        <v>599</v>
      </c>
      <c r="CK33" s="84"/>
      <c r="CW33" s="153"/>
      <c r="CX33" s="153" t="s">
        <v>830</v>
      </c>
      <c r="CY33" s="96" t="s">
        <v>599</v>
      </c>
      <c r="CZ33" s="42"/>
      <c r="DB33" s="153"/>
      <c r="DC33" s="153" t="s">
        <v>705</v>
      </c>
      <c r="DD33" s="96" t="s">
        <v>599</v>
      </c>
      <c r="DE33" s="42"/>
      <c r="DG33" s="154"/>
      <c r="DH33" s="154" t="s">
        <v>171</v>
      </c>
      <c r="DI33" s="95" t="s">
        <v>599</v>
      </c>
      <c r="DJ33" s="61"/>
      <c r="DL33" s="153"/>
      <c r="DM33" s="153" t="s">
        <v>171</v>
      </c>
      <c r="DN33" s="96" t="s">
        <v>599</v>
      </c>
      <c r="DO33" s="42"/>
    </row>
    <row r="34" spans="8:119">
      <c r="X34" s="153"/>
      <c r="Y34" s="153" t="s">
        <v>199</v>
      </c>
      <c r="Z34" s="96" t="s">
        <v>599</v>
      </c>
      <c r="AA34" s="43" t="s">
        <v>735</v>
      </c>
      <c r="AC34" s="153"/>
      <c r="AD34" s="153" t="s">
        <v>230</v>
      </c>
      <c r="AE34" s="50" t="s">
        <v>602</v>
      </c>
      <c r="AF34" s="41"/>
      <c r="AO34" s="180"/>
      <c r="AP34" s="179" t="s">
        <v>609</v>
      </c>
      <c r="AQ34" s="167" t="s">
        <v>602</v>
      </c>
      <c r="AR34" s="176"/>
      <c r="AT34" s="153"/>
      <c r="AU34" s="153" t="s">
        <v>622</v>
      </c>
      <c r="AV34" s="96" t="s">
        <v>599</v>
      </c>
      <c r="AW34" s="41"/>
      <c r="BN34" s="153"/>
      <c r="BO34" s="182" t="s">
        <v>736</v>
      </c>
      <c r="BP34" s="166" t="s">
        <v>599</v>
      </c>
      <c r="BQ34" s="160"/>
      <c r="BS34" s="153"/>
      <c r="BT34" s="153" t="s">
        <v>830</v>
      </c>
      <c r="BU34" s="96" t="s">
        <v>599</v>
      </c>
      <c r="BV34" s="41"/>
      <c r="BX34" s="153"/>
      <c r="BY34" s="153" t="s">
        <v>622</v>
      </c>
      <c r="BZ34" s="96" t="s">
        <v>599</v>
      </c>
      <c r="CA34" s="41"/>
      <c r="CC34" s="153"/>
      <c r="CD34" s="153" t="s">
        <v>914</v>
      </c>
      <c r="CE34" s="96" t="s">
        <v>599</v>
      </c>
      <c r="CF34" s="41"/>
      <c r="CH34" s="185"/>
      <c r="CI34" s="185" t="s">
        <v>725</v>
      </c>
      <c r="CJ34" s="98" t="s">
        <v>599</v>
      </c>
      <c r="CK34" s="85"/>
      <c r="CW34" s="153"/>
      <c r="CX34" s="153" t="s">
        <v>622</v>
      </c>
      <c r="CY34" s="96" t="s">
        <v>599</v>
      </c>
      <c r="CZ34" s="41"/>
      <c r="DB34" s="153"/>
      <c r="DC34" s="153" t="s">
        <v>144</v>
      </c>
      <c r="DD34" s="96" t="s">
        <v>599</v>
      </c>
      <c r="DE34" s="41"/>
      <c r="DG34" s="154"/>
      <c r="DH34" s="154" t="s">
        <v>622</v>
      </c>
      <c r="DI34" s="95" t="s">
        <v>599</v>
      </c>
      <c r="DJ34" s="62"/>
      <c r="DL34" s="153"/>
      <c r="DM34" s="153" t="s">
        <v>622</v>
      </c>
      <c r="DN34" s="96" t="s">
        <v>599</v>
      </c>
      <c r="DO34" s="41"/>
    </row>
    <row r="35" spans="8:119">
      <c r="X35" s="153"/>
      <c r="Y35" s="153" t="s">
        <v>229</v>
      </c>
      <c r="Z35" s="96" t="s">
        <v>599</v>
      </c>
      <c r="AA35" s="41"/>
      <c r="AC35" s="153"/>
      <c r="AD35" s="153" t="s">
        <v>761</v>
      </c>
      <c r="AE35" s="96" t="s">
        <v>599</v>
      </c>
      <c r="AF35" s="42"/>
      <c r="AO35" s="180"/>
      <c r="AP35" s="179" t="s">
        <v>648</v>
      </c>
      <c r="AQ35" s="166" t="s">
        <v>599</v>
      </c>
      <c r="AR35" s="176"/>
      <c r="AT35" s="153"/>
      <c r="AU35" s="153" t="s">
        <v>643</v>
      </c>
      <c r="AV35" s="96" t="s">
        <v>599</v>
      </c>
      <c r="AW35" s="42"/>
      <c r="BN35" s="153"/>
      <c r="BO35" s="182" t="s">
        <v>761</v>
      </c>
      <c r="BP35" s="167" t="s">
        <v>602</v>
      </c>
      <c r="BQ35" s="157" t="s">
        <v>2074</v>
      </c>
      <c r="BS35" s="153"/>
      <c r="BT35" s="153" t="s">
        <v>622</v>
      </c>
      <c r="BU35" s="96" t="s">
        <v>599</v>
      </c>
      <c r="BV35" s="42"/>
      <c r="BX35" s="153"/>
      <c r="BY35" s="153" t="s">
        <v>173</v>
      </c>
      <c r="BZ35" s="96" t="s">
        <v>599</v>
      </c>
      <c r="CA35" s="42"/>
      <c r="CC35" s="153"/>
      <c r="CD35" s="153" t="s">
        <v>265</v>
      </c>
      <c r="CE35" s="96" t="s">
        <v>599</v>
      </c>
      <c r="CF35" s="42"/>
      <c r="CH35" s="185"/>
      <c r="CI35" s="185" t="s">
        <v>621</v>
      </c>
      <c r="CJ35" s="98" t="s">
        <v>599</v>
      </c>
      <c r="CK35" s="84"/>
      <c r="CW35" s="153"/>
      <c r="CX35" s="153" t="s">
        <v>643</v>
      </c>
      <c r="CY35" s="96" t="s">
        <v>599</v>
      </c>
      <c r="CZ35" s="42"/>
      <c r="DB35" s="153"/>
      <c r="DC35" s="153" t="s">
        <v>725</v>
      </c>
      <c r="DD35" s="96" t="s">
        <v>599</v>
      </c>
      <c r="DE35" s="43" t="s">
        <v>1001</v>
      </c>
      <c r="DG35" s="154"/>
      <c r="DH35" s="154" t="s">
        <v>643</v>
      </c>
      <c r="DI35" s="77" t="s">
        <v>602</v>
      </c>
      <c r="DJ35" s="63" t="s">
        <v>1017</v>
      </c>
      <c r="DL35" s="153"/>
      <c r="DM35" s="153" t="s">
        <v>643</v>
      </c>
      <c r="DN35" s="50" t="s">
        <v>602</v>
      </c>
      <c r="DO35" s="43" t="s">
        <v>1017</v>
      </c>
    </row>
    <row r="36" spans="8:119">
      <c r="X36" s="153"/>
      <c r="Y36" s="153" t="s">
        <v>230</v>
      </c>
      <c r="Z36" s="96" t="s">
        <v>599</v>
      </c>
      <c r="AA36" s="42"/>
      <c r="AC36" s="153"/>
      <c r="AD36" s="153" t="s">
        <v>231</v>
      </c>
      <c r="AE36" s="96" t="s">
        <v>599</v>
      </c>
      <c r="AF36" s="41"/>
      <c r="AO36" s="180"/>
      <c r="AP36" s="179" t="s">
        <v>817</v>
      </c>
      <c r="AQ36" s="166" t="s">
        <v>599</v>
      </c>
      <c r="AR36" s="94"/>
      <c r="AT36" s="153"/>
      <c r="AU36" s="153" t="s">
        <v>731</v>
      </c>
      <c r="AV36" s="96" t="s">
        <v>599</v>
      </c>
      <c r="AW36" s="41"/>
      <c r="BN36" s="153"/>
      <c r="BO36" s="182" t="s">
        <v>231</v>
      </c>
      <c r="BP36" s="166" t="s">
        <v>599</v>
      </c>
      <c r="BQ36" s="160"/>
      <c r="BS36" s="153"/>
      <c r="BT36" s="153" t="s">
        <v>643</v>
      </c>
      <c r="BU36" s="96" t="s">
        <v>599</v>
      </c>
      <c r="BV36" s="41"/>
      <c r="BX36" s="153"/>
      <c r="BY36" s="153" t="s">
        <v>758</v>
      </c>
      <c r="BZ36" s="96" t="s">
        <v>599</v>
      </c>
      <c r="CA36" s="41"/>
      <c r="CC36" s="153"/>
      <c r="CD36" s="153" t="s">
        <v>266</v>
      </c>
      <c r="CE36" s="96" t="s">
        <v>599</v>
      </c>
      <c r="CF36" s="41"/>
      <c r="CH36" s="185"/>
      <c r="CI36" s="185" t="s">
        <v>639</v>
      </c>
      <c r="CJ36" s="98" t="s">
        <v>599</v>
      </c>
      <c r="CK36" s="85"/>
      <c r="CW36" s="153"/>
      <c r="CX36" s="153" t="s">
        <v>173</v>
      </c>
      <c r="CY36" s="96" t="s">
        <v>599</v>
      </c>
      <c r="CZ36" s="41"/>
      <c r="DB36" s="153"/>
      <c r="DC36" s="153" t="s">
        <v>621</v>
      </c>
      <c r="DD36" s="96" t="s">
        <v>599</v>
      </c>
      <c r="DE36" s="51" t="s">
        <v>1002</v>
      </c>
      <c r="DG36" s="154"/>
      <c r="DH36" s="154" t="s">
        <v>758</v>
      </c>
      <c r="DI36" s="77" t="s">
        <v>602</v>
      </c>
      <c r="DJ36" s="62"/>
      <c r="DL36" s="153"/>
      <c r="DM36" s="153" t="s">
        <v>758</v>
      </c>
      <c r="DN36" s="50" t="s">
        <v>602</v>
      </c>
      <c r="DO36" s="41"/>
    </row>
    <row r="37" spans="8:119">
      <c r="X37" s="153"/>
      <c r="Y37" s="153" t="s">
        <v>736</v>
      </c>
      <c r="Z37" s="96" t="s">
        <v>599</v>
      </c>
      <c r="AA37" s="41"/>
      <c r="AC37" s="153"/>
      <c r="AD37" s="153" t="s">
        <v>625</v>
      </c>
      <c r="AE37" s="96" t="s">
        <v>599</v>
      </c>
      <c r="AF37" s="42"/>
      <c r="AT37" s="153"/>
      <c r="AU37" s="153" t="s">
        <v>732</v>
      </c>
      <c r="AV37" s="96" t="s">
        <v>599</v>
      </c>
      <c r="AW37" s="42"/>
      <c r="BN37" s="153"/>
      <c r="BO37" s="182" t="s">
        <v>625</v>
      </c>
      <c r="BP37" s="166" t="s">
        <v>599</v>
      </c>
      <c r="BQ37" s="158"/>
      <c r="BS37" s="153"/>
      <c r="BT37" s="153" t="s">
        <v>173</v>
      </c>
      <c r="BU37" s="96" t="s">
        <v>599</v>
      </c>
      <c r="BV37" s="42"/>
      <c r="BX37" s="153"/>
      <c r="BY37" s="153" t="s">
        <v>731</v>
      </c>
      <c r="BZ37" s="96" t="s">
        <v>599</v>
      </c>
      <c r="CA37" s="42"/>
      <c r="CC37" s="153"/>
      <c r="CD37" s="153" t="s">
        <v>647</v>
      </c>
      <c r="CE37" s="96" t="s">
        <v>599</v>
      </c>
      <c r="CF37" s="43" t="s">
        <v>945</v>
      </c>
      <c r="CH37" s="185"/>
      <c r="CI37" s="185" t="s">
        <v>640</v>
      </c>
      <c r="CJ37" s="98" t="s">
        <v>599</v>
      </c>
      <c r="CK37" s="84"/>
      <c r="CW37" s="153"/>
      <c r="CX37" s="153" t="s">
        <v>899</v>
      </c>
      <c r="CY37" s="96" t="s">
        <v>599</v>
      </c>
      <c r="CZ37" s="42"/>
      <c r="DB37" s="153"/>
      <c r="DC37" s="153" t="s">
        <v>639</v>
      </c>
      <c r="DD37" s="96" t="s">
        <v>599</v>
      </c>
      <c r="DE37" s="42"/>
      <c r="DG37" s="154"/>
      <c r="DH37" s="154" t="s">
        <v>899</v>
      </c>
      <c r="DI37" s="95" t="s">
        <v>599</v>
      </c>
      <c r="DJ37" s="61"/>
      <c r="DL37" s="153"/>
      <c r="DM37" s="153" t="s">
        <v>899</v>
      </c>
      <c r="DN37" s="96" t="s">
        <v>599</v>
      </c>
      <c r="DO37" s="42"/>
    </row>
    <row r="38" spans="8:119">
      <c r="X38" s="153"/>
      <c r="Y38" s="153" t="s">
        <v>737</v>
      </c>
      <c r="Z38" s="96" t="s">
        <v>599</v>
      </c>
      <c r="AA38" s="42"/>
      <c r="AC38" s="153"/>
      <c r="AD38" s="153" t="s">
        <v>762</v>
      </c>
      <c r="AE38" s="96" t="s">
        <v>599</v>
      </c>
      <c r="AF38" s="41"/>
      <c r="AT38" s="153"/>
      <c r="AU38" s="153" t="s">
        <v>199</v>
      </c>
      <c r="AV38" s="96" t="s">
        <v>599</v>
      </c>
      <c r="AW38" s="41"/>
      <c r="BN38" s="153"/>
      <c r="BO38" s="182" t="s">
        <v>626</v>
      </c>
      <c r="BP38" s="166" t="s">
        <v>599</v>
      </c>
      <c r="BQ38" s="160"/>
      <c r="BS38" s="153"/>
      <c r="BT38" s="153" t="s">
        <v>899</v>
      </c>
      <c r="BU38" s="96" t="s">
        <v>599</v>
      </c>
      <c r="BV38" s="41"/>
      <c r="BX38" s="153"/>
      <c r="BY38" s="153" t="s">
        <v>732</v>
      </c>
      <c r="BZ38" s="96" t="s">
        <v>599</v>
      </c>
      <c r="CA38" s="41"/>
      <c r="CC38" s="153"/>
      <c r="CD38" s="153" t="s">
        <v>946</v>
      </c>
      <c r="CE38" s="96" t="s">
        <v>599</v>
      </c>
      <c r="CF38" s="41"/>
      <c r="CH38" s="185"/>
      <c r="CI38" s="185" t="s">
        <v>171</v>
      </c>
      <c r="CJ38" s="98" t="s">
        <v>599</v>
      </c>
      <c r="CK38" s="85"/>
      <c r="CW38" s="153"/>
      <c r="CX38" s="153" t="s">
        <v>731</v>
      </c>
      <c r="CY38" s="96" t="s">
        <v>599</v>
      </c>
      <c r="CZ38" s="41"/>
      <c r="DB38" s="153"/>
      <c r="DC38" s="153" t="s">
        <v>640</v>
      </c>
      <c r="DD38" s="96" t="s">
        <v>599</v>
      </c>
      <c r="DE38" s="41"/>
      <c r="DG38" s="154"/>
      <c r="DH38" s="154" t="s">
        <v>1018</v>
      </c>
      <c r="DI38" s="77" t="s">
        <v>602</v>
      </c>
      <c r="DJ38" s="64" t="s">
        <v>1019</v>
      </c>
      <c r="DL38" s="153"/>
      <c r="DM38" s="153" t="s">
        <v>1018</v>
      </c>
      <c r="DN38" s="50" t="s">
        <v>602</v>
      </c>
      <c r="DO38" s="51" t="s">
        <v>1019</v>
      </c>
    </row>
    <row r="39" spans="8:119">
      <c r="X39" s="153"/>
      <c r="Y39" s="153" t="s">
        <v>625</v>
      </c>
      <c r="Z39" s="96" t="s">
        <v>599</v>
      </c>
      <c r="AA39" s="51" t="s">
        <v>738</v>
      </c>
      <c r="AC39" s="153"/>
      <c r="AD39" s="153" t="s">
        <v>763</v>
      </c>
      <c r="AE39" s="96" t="s">
        <v>599</v>
      </c>
      <c r="AF39" s="42"/>
      <c r="AT39" s="153"/>
      <c r="AU39" s="153" t="s">
        <v>198</v>
      </c>
      <c r="AV39" s="96" t="s">
        <v>599</v>
      </c>
      <c r="AW39" s="42"/>
      <c r="BN39" s="153"/>
      <c r="BO39" s="182" t="s">
        <v>606</v>
      </c>
      <c r="BP39" s="166" t="s">
        <v>599</v>
      </c>
      <c r="BQ39" s="158"/>
      <c r="BS39" s="153"/>
      <c r="BT39" s="153" t="s">
        <v>731</v>
      </c>
      <c r="BU39" s="50" t="s">
        <v>602</v>
      </c>
      <c r="BV39" s="42"/>
      <c r="BX39" s="153"/>
      <c r="BY39" s="153" t="s">
        <v>734</v>
      </c>
      <c r="BZ39" s="96" t="s">
        <v>599</v>
      </c>
      <c r="CA39" s="42"/>
      <c r="CC39" s="153"/>
      <c r="CD39" s="153" t="s">
        <v>808</v>
      </c>
      <c r="CE39" s="96" t="s">
        <v>599</v>
      </c>
      <c r="CF39" s="42"/>
      <c r="CH39" s="185"/>
      <c r="CI39" s="185" t="s">
        <v>830</v>
      </c>
      <c r="CJ39" s="98" t="s">
        <v>599</v>
      </c>
      <c r="CK39" s="84"/>
      <c r="CW39" s="153"/>
      <c r="CX39" s="153" t="s">
        <v>911</v>
      </c>
      <c r="CY39" s="50" t="s">
        <v>602</v>
      </c>
      <c r="CZ39" s="43" t="s">
        <v>984</v>
      </c>
      <c r="DB39" s="153"/>
      <c r="DC39" s="153" t="s">
        <v>728</v>
      </c>
      <c r="DD39" s="96" t="s">
        <v>599</v>
      </c>
      <c r="DE39" s="42"/>
      <c r="DG39" s="154"/>
      <c r="DH39" s="154" t="s">
        <v>732</v>
      </c>
      <c r="DI39" s="95" t="s">
        <v>599</v>
      </c>
      <c r="DJ39" s="61"/>
      <c r="DL39" s="153"/>
      <c r="DM39" s="153" t="s">
        <v>732</v>
      </c>
      <c r="DN39" s="96" t="s">
        <v>599</v>
      </c>
      <c r="DO39" s="42"/>
    </row>
    <row r="40" spans="8:119">
      <c r="X40" s="153"/>
      <c r="Y40" s="153" t="s">
        <v>626</v>
      </c>
      <c r="Z40" s="96" t="s">
        <v>599</v>
      </c>
      <c r="AA40" s="42"/>
      <c r="AC40" s="153"/>
      <c r="AD40" s="153" t="s">
        <v>764</v>
      </c>
      <c r="AE40" s="96" t="s">
        <v>599</v>
      </c>
      <c r="AF40" s="41"/>
      <c r="AT40" s="153"/>
      <c r="AU40" s="153" t="s">
        <v>760</v>
      </c>
      <c r="AV40" s="96" t="s">
        <v>599</v>
      </c>
      <c r="AW40" s="41"/>
      <c r="BN40" s="153"/>
      <c r="BO40" s="182" t="s">
        <v>739</v>
      </c>
      <c r="BP40" s="166" t="s">
        <v>599</v>
      </c>
      <c r="BQ40" s="160"/>
      <c r="BS40" s="153"/>
      <c r="BT40" s="153" t="s">
        <v>911</v>
      </c>
      <c r="BU40" s="96" t="s">
        <v>599</v>
      </c>
      <c r="BV40" s="51" t="s">
        <v>912</v>
      </c>
      <c r="BX40" s="153"/>
      <c r="BY40" s="153" t="s">
        <v>759</v>
      </c>
      <c r="BZ40" s="96" t="s">
        <v>599</v>
      </c>
      <c r="CA40" s="41"/>
      <c r="CC40" s="153"/>
      <c r="CD40" s="153" t="s">
        <v>630</v>
      </c>
      <c r="CE40" s="96" t="s">
        <v>599</v>
      </c>
      <c r="CF40" s="41"/>
      <c r="CH40" s="185"/>
      <c r="CI40" s="185" t="s">
        <v>622</v>
      </c>
      <c r="CJ40" s="98" t="s">
        <v>599</v>
      </c>
      <c r="CK40" s="85"/>
      <c r="CW40" s="153"/>
      <c r="CX40" s="153" t="s">
        <v>732</v>
      </c>
      <c r="CY40" s="96" t="s">
        <v>599</v>
      </c>
      <c r="CZ40" s="41"/>
      <c r="DB40" s="153"/>
      <c r="DC40" s="153" t="s">
        <v>171</v>
      </c>
      <c r="DD40" s="96" t="s">
        <v>599</v>
      </c>
      <c r="DE40" s="41"/>
      <c r="DG40" s="154"/>
      <c r="DH40" s="154" t="s">
        <v>734</v>
      </c>
      <c r="DI40" s="95" t="s">
        <v>599</v>
      </c>
      <c r="DJ40" s="62"/>
      <c r="DL40" s="153"/>
      <c r="DM40" s="153" t="s">
        <v>734</v>
      </c>
      <c r="DN40" s="96" t="s">
        <v>599</v>
      </c>
      <c r="DO40" s="41"/>
    </row>
    <row r="41" spans="8:119">
      <c r="X41" s="153"/>
      <c r="Y41" s="153" t="s">
        <v>606</v>
      </c>
      <c r="Z41" s="96" t="s">
        <v>599</v>
      </c>
      <c r="AA41" s="41"/>
      <c r="AC41" s="153"/>
      <c r="AD41" s="153" t="s">
        <v>626</v>
      </c>
      <c r="AE41" s="96" t="s">
        <v>599</v>
      </c>
      <c r="AF41" s="42"/>
      <c r="AT41" s="153"/>
      <c r="AU41" s="153" t="s">
        <v>229</v>
      </c>
      <c r="AV41" s="96" t="s">
        <v>599</v>
      </c>
      <c r="AW41" s="42"/>
      <c r="BN41" s="153"/>
      <c r="BO41" s="182" t="s">
        <v>740</v>
      </c>
      <c r="BP41" s="166" t="s">
        <v>599</v>
      </c>
      <c r="BQ41" s="158"/>
      <c r="BS41" s="153"/>
      <c r="BT41" s="153" t="s">
        <v>732</v>
      </c>
      <c r="BU41" s="96" t="s">
        <v>599</v>
      </c>
      <c r="BV41" s="42"/>
      <c r="BX41" s="153"/>
      <c r="BY41" s="153" t="s">
        <v>197</v>
      </c>
      <c r="BZ41" s="96" t="s">
        <v>599</v>
      </c>
      <c r="CA41" s="43" t="s">
        <v>885</v>
      </c>
      <c r="CC41" s="153"/>
      <c r="CD41" s="153" t="s">
        <v>747</v>
      </c>
      <c r="CE41" s="96" t="s">
        <v>599</v>
      </c>
      <c r="CF41" s="42"/>
      <c r="CH41" s="185"/>
      <c r="CI41" s="185" t="s">
        <v>643</v>
      </c>
      <c r="CJ41" s="98" t="s">
        <v>599</v>
      </c>
      <c r="CK41" s="84"/>
      <c r="CW41" s="153"/>
      <c r="CX41" s="153" t="s">
        <v>759</v>
      </c>
      <c r="CY41" s="96" t="s">
        <v>599</v>
      </c>
      <c r="CZ41" s="42"/>
      <c r="DB41" s="153"/>
      <c r="DC41" s="153" t="s">
        <v>830</v>
      </c>
      <c r="DD41" s="96" t="s">
        <v>599</v>
      </c>
      <c r="DE41" s="42"/>
      <c r="DG41" s="154"/>
      <c r="DH41" s="154" t="s">
        <v>759</v>
      </c>
      <c r="DI41" s="77" t="s">
        <v>602</v>
      </c>
      <c r="DJ41" s="61"/>
      <c r="DL41" s="153"/>
      <c r="DM41" s="153" t="s">
        <v>759</v>
      </c>
      <c r="DN41" s="50" t="s">
        <v>602</v>
      </c>
      <c r="DO41" s="42"/>
    </row>
    <row r="42" spans="8:119">
      <c r="X42" s="153"/>
      <c r="Y42" s="153" t="s">
        <v>656</v>
      </c>
      <c r="Z42" s="96" t="s">
        <v>599</v>
      </c>
      <c r="AA42" s="42"/>
      <c r="AC42" s="153"/>
      <c r="AD42" s="153" t="s">
        <v>739</v>
      </c>
      <c r="AE42" s="96" t="s">
        <v>599</v>
      </c>
      <c r="AF42" s="41"/>
      <c r="AT42" s="153"/>
      <c r="AU42" s="153" t="s">
        <v>644</v>
      </c>
      <c r="AV42" s="96" t="s">
        <v>599</v>
      </c>
      <c r="AW42" s="41"/>
      <c r="BN42" s="153"/>
      <c r="BO42" s="182" t="s">
        <v>741</v>
      </c>
      <c r="BP42" s="166" t="s">
        <v>599</v>
      </c>
      <c r="BQ42" s="160"/>
      <c r="BS42" s="153"/>
      <c r="BT42" s="153" t="s">
        <v>197</v>
      </c>
      <c r="BU42" s="96" t="s">
        <v>599</v>
      </c>
      <c r="BV42" s="41"/>
      <c r="BX42" s="153"/>
      <c r="BY42" s="153" t="s">
        <v>199</v>
      </c>
      <c r="BZ42" s="96" t="s">
        <v>599</v>
      </c>
      <c r="CA42" s="41"/>
      <c r="CC42" s="153"/>
      <c r="CD42" s="153" t="s">
        <v>766</v>
      </c>
      <c r="CE42" s="96" t="s">
        <v>599</v>
      </c>
      <c r="CF42" s="41"/>
      <c r="CH42" s="185"/>
      <c r="CI42" s="185" t="s">
        <v>758</v>
      </c>
      <c r="CJ42" s="98" t="s">
        <v>599</v>
      </c>
      <c r="CK42" s="85"/>
      <c r="CW42" s="153"/>
      <c r="CX42" s="153" t="s">
        <v>197</v>
      </c>
      <c r="CY42" s="96" t="s">
        <v>599</v>
      </c>
      <c r="CZ42" s="51" t="s">
        <v>886</v>
      </c>
      <c r="DB42" s="153"/>
      <c r="DC42" s="153" t="s">
        <v>622</v>
      </c>
      <c r="DD42" s="96" t="s">
        <v>599</v>
      </c>
      <c r="DE42" s="41"/>
      <c r="DG42" s="154"/>
      <c r="DH42" s="154" t="s">
        <v>197</v>
      </c>
      <c r="DI42" s="77" t="s">
        <v>602</v>
      </c>
      <c r="DJ42" s="64" t="s">
        <v>888</v>
      </c>
      <c r="DL42" s="153"/>
      <c r="DM42" s="153" t="s">
        <v>197</v>
      </c>
      <c r="DN42" s="50" t="s">
        <v>602</v>
      </c>
      <c r="DO42" s="51" t="s">
        <v>888</v>
      </c>
    </row>
    <row r="43" spans="8:119">
      <c r="X43" s="153"/>
      <c r="Y43" s="153" t="s">
        <v>739</v>
      </c>
      <c r="Z43" s="96" t="s">
        <v>599</v>
      </c>
      <c r="AA43" s="41"/>
      <c r="AC43" s="153"/>
      <c r="AD43" s="153" t="s">
        <v>740</v>
      </c>
      <c r="AE43" s="96" t="s">
        <v>599</v>
      </c>
      <c r="AF43" s="42"/>
      <c r="AT43" s="153"/>
      <c r="AU43" s="153" t="s">
        <v>736</v>
      </c>
      <c r="AV43" s="96" t="s">
        <v>599</v>
      </c>
      <c r="AW43" s="42"/>
      <c r="BN43" s="153"/>
      <c r="BO43" s="182" t="s">
        <v>266</v>
      </c>
      <c r="BP43" s="166" t="s">
        <v>599</v>
      </c>
      <c r="BQ43" s="158"/>
      <c r="BS43" s="153"/>
      <c r="BT43" s="153" t="s">
        <v>199</v>
      </c>
      <c r="BU43" s="96" t="s">
        <v>599</v>
      </c>
      <c r="BV43" s="42"/>
      <c r="BX43" s="153"/>
      <c r="BY43" s="153" t="s">
        <v>198</v>
      </c>
      <c r="BZ43" s="96" t="s">
        <v>599</v>
      </c>
      <c r="CA43" s="42"/>
      <c r="CC43" s="153"/>
      <c r="CD43" s="153" t="s">
        <v>947</v>
      </c>
      <c r="CE43" s="96" t="s">
        <v>599</v>
      </c>
      <c r="CF43" s="42"/>
      <c r="CH43" s="185"/>
      <c r="CI43" s="185" t="s">
        <v>899</v>
      </c>
      <c r="CJ43" s="98" t="s">
        <v>599</v>
      </c>
      <c r="CK43" s="84"/>
      <c r="CW43" s="153"/>
      <c r="CX43" s="153" t="s">
        <v>199</v>
      </c>
      <c r="CY43" s="96" t="s">
        <v>599</v>
      </c>
      <c r="CZ43" s="42"/>
      <c r="DB43" s="153"/>
      <c r="DC43" s="153" t="s">
        <v>1003</v>
      </c>
      <c r="DD43" s="96" t="s">
        <v>599</v>
      </c>
      <c r="DE43" s="42"/>
      <c r="DG43" s="154"/>
      <c r="DH43" s="154" t="s">
        <v>199</v>
      </c>
      <c r="DI43" s="95" t="s">
        <v>599</v>
      </c>
      <c r="DJ43" s="61"/>
      <c r="DL43" s="153"/>
      <c r="DM43" s="153" t="s">
        <v>199</v>
      </c>
      <c r="DN43" s="96" t="s">
        <v>599</v>
      </c>
      <c r="DO43" s="42"/>
    </row>
    <row r="44" spans="8:119">
      <c r="X44" s="153"/>
      <c r="Y44" s="153" t="s">
        <v>740</v>
      </c>
      <c r="Z44" s="96" t="s">
        <v>599</v>
      </c>
      <c r="AA44" s="42"/>
      <c r="AC44" s="153"/>
      <c r="AD44" s="153" t="s">
        <v>741</v>
      </c>
      <c r="AE44" s="96" t="s">
        <v>599</v>
      </c>
      <c r="AF44" s="41"/>
      <c r="AT44" s="153"/>
      <c r="AU44" s="153" t="s">
        <v>737</v>
      </c>
      <c r="AV44" s="96" t="s">
        <v>599</v>
      </c>
      <c r="AW44" s="41"/>
      <c r="BN44" s="153"/>
      <c r="BO44" s="182" t="s">
        <v>660</v>
      </c>
      <c r="BP44" s="166" t="s">
        <v>599</v>
      </c>
      <c r="BQ44" s="160"/>
      <c r="BS44" s="153"/>
      <c r="BT44" s="153" t="s">
        <v>760</v>
      </c>
      <c r="BU44" s="96" t="s">
        <v>599</v>
      </c>
      <c r="BV44" s="41"/>
      <c r="BX44" s="153"/>
      <c r="BY44" s="153" t="s">
        <v>760</v>
      </c>
      <c r="BZ44" s="96" t="s">
        <v>599</v>
      </c>
      <c r="CA44" s="41"/>
      <c r="CC44" s="153"/>
      <c r="CD44" s="153" t="s">
        <v>609</v>
      </c>
      <c r="CE44" s="96" t="s">
        <v>599</v>
      </c>
      <c r="CF44" s="44"/>
      <c r="CH44" s="185"/>
      <c r="CI44" s="185" t="s">
        <v>731</v>
      </c>
      <c r="CJ44" s="98" t="s">
        <v>599</v>
      </c>
      <c r="CK44" s="85"/>
      <c r="CW44" s="153"/>
      <c r="CX44" s="153" t="s">
        <v>198</v>
      </c>
      <c r="CY44" s="96" t="s">
        <v>599</v>
      </c>
      <c r="CZ44" s="51" t="s">
        <v>917</v>
      </c>
      <c r="DB44" s="153"/>
      <c r="DC44" s="153" t="s">
        <v>1004</v>
      </c>
      <c r="DD44" s="96" t="s">
        <v>599</v>
      </c>
      <c r="DE44" s="41"/>
      <c r="DG44" s="154"/>
      <c r="DH44" s="154" t="s">
        <v>198</v>
      </c>
      <c r="DI44" s="95" t="s">
        <v>599</v>
      </c>
      <c r="DJ44" s="64" t="s">
        <v>922</v>
      </c>
      <c r="DL44" s="153"/>
      <c r="DM44" s="153" t="s">
        <v>198</v>
      </c>
      <c r="DN44" s="96" t="s">
        <v>599</v>
      </c>
      <c r="DO44" s="51" t="s">
        <v>922</v>
      </c>
    </row>
    <row r="45" spans="8:119">
      <c r="X45" s="153"/>
      <c r="Y45" s="153" t="s">
        <v>628</v>
      </c>
      <c r="Z45" s="96" t="s">
        <v>599</v>
      </c>
      <c r="AA45" s="41"/>
      <c r="AC45" s="153"/>
      <c r="AD45" s="153" t="s">
        <v>266</v>
      </c>
      <c r="AE45" s="96" t="s">
        <v>599</v>
      </c>
      <c r="AF45" s="42"/>
      <c r="AT45" s="153"/>
      <c r="AU45" s="153" t="s">
        <v>761</v>
      </c>
      <c r="AV45" s="96" t="s">
        <v>599</v>
      </c>
      <c r="AW45" s="42"/>
      <c r="BN45" s="153"/>
      <c r="BO45" s="182" t="s">
        <v>742</v>
      </c>
      <c r="BP45" s="166" t="s">
        <v>599</v>
      </c>
      <c r="BQ45" s="158"/>
      <c r="BS45" s="153"/>
      <c r="BT45" s="153" t="s">
        <v>229</v>
      </c>
      <c r="BU45" s="96" t="s">
        <v>599</v>
      </c>
      <c r="BV45" s="42"/>
      <c r="BX45" s="153"/>
      <c r="BY45" s="153" t="s">
        <v>230</v>
      </c>
      <c r="BZ45" s="96" t="s">
        <v>599</v>
      </c>
      <c r="CA45" s="43" t="s">
        <v>930</v>
      </c>
      <c r="CC45" s="153"/>
      <c r="CD45" s="153" t="s">
        <v>648</v>
      </c>
      <c r="CE45" s="96" t="s">
        <v>599</v>
      </c>
      <c r="CF45" s="42"/>
      <c r="CH45" s="185"/>
      <c r="CI45" s="185" t="s">
        <v>732</v>
      </c>
      <c r="CJ45" s="98" t="s">
        <v>599</v>
      </c>
      <c r="CK45" s="84"/>
      <c r="CW45" s="153"/>
      <c r="CX45" s="153" t="s">
        <v>760</v>
      </c>
      <c r="CY45" s="96" t="s">
        <v>599</v>
      </c>
      <c r="CZ45" s="42"/>
      <c r="DB45" s="153"/>
      <c r="DC45" s="153" t="s">
        <v>643</v>
      </c>
      <c r="DD45" s="96" t="s">
        <v>599</v>
      </c>
      <c r="DE45" s="42"/>
      <c r="DG45" s="154"/>
      <c r="DH45" s="154" t="s">
        <v>760</v>
      </c>
      <c r="DI45" s="95" t="s">
        <v>599</v>
      </c>
      <c r="DJ45" s="61"/>
      <c r="DL45" s="153"/>
      <c r="DM45" s="153" t="s">
        <v>760</v>
      </c>
      <c r="DN45" s="96" t="s">
        <v>599</v>
      </c>
      <c r="DO45" s="42"/>
    </row>
    <row r="46" spans="8:119">
      <c r="X46" s="153"/>
      <c r="Y46" s="153" t="s">
        <v>741</v>
      </c>
      <c r="Z46" s="96" t="s">
        <v>599</v>
      </c>
      <c r="AA46" s="42"/>
      <c r="AC46" s="153"/>
      <c r="AD46" s="153" t="s">
        <v>647</v>
      </c>
      <c r="AE46" s="96" t="s">
        <v>599</v>
      </c>
      <c r="AF46" s="41"/>
      <c r="AT46" s="153"/>
      <c r="AU46" s="153" t="s">
        <v>231</v>
      </c>
      <c r="AV46" s="96" t="s">
        <v>599</v>
      </c>
      <c r="AW46" s="41"/>
      <c r="BN46" s="153"/>
      <c r="BO46" s="182" t="s">
        <v>629</v>
      </c>
      <c r="BP46" s="166" t="s">
        <v>599</v>
      </c>
      <c r="BQ46" s="160"/>
      <c r="BS46" s="153"/>
      <c r="BT46" s="153" t="s">
        <v>230</v>
      </c>
      <c r="BU46" s="96" t="s">
        <v>599</v>
      </c>
      <c r="BV46" s="41"/>
      <c r="BX46" s="153"/>
      <c r="BY46" s="153" t="s">
        <v>644</v>
      </c>
      <c r="BZ46" s="96" t="s">
        <v>599</v>
      </c>
      <c r="CA46" s="51" t="s">
        <v>931</v>
      </c>
      <c r="CC46" s="153"/>
      <c r="CD46" s="153" t="s">
        <v>836</v>
      </c>
      <c r="CE46" s="96" t="s">
        <v>599</v>
      </c>
      <c r="CF46" s="41"/>
      <c r="CH46" s="185"/>
      <c r="CI46" s="185" t="s">
        <v>199</v>
      </c>
      <c r="CJ46" s="98" t="s">
        <v>599</v>
      </c>
      <c r="CK46" s="85"/>
      <c r="CW46" s="153"/>
      <c r="CX46" s="153" t="s">
        <v>229</v>
      </c>
      <c r="CY46" s="96" t="s">
        <v>599</v>
      </c>
      <c r="CZ46" s="41"/>
      <c r="DB46" s="153"/>
      <c r="DC46" s="153" t="s">
        <v>899</v>
      </c>
      <c r="DD46" s="96" t="s">
        <v>599</v>
      </c>
      <c r="DE46" s="41"/>
      <c r="DG46" s="154"/>
      <c r="DH46" s="154" t="s">
        <v>229</v>
      </c>
      <c r="DI46" s="95" t="s">
        <v>599</v>
      </c>
      <c r="DJ46" s="62"/>
      <c r="DL46" s="153"/>
      <c r="DM46" s="153" t="s">
        <v>229</v>
      </c>
      <c r="DN46" s="96" t="s">
        <v>599</v>
      </c>
      <c r="DO46" s="41"/>
    </row>
    <row r="47" spans="8:119">
      <c r="X47" s="153"/>
      <c r="Y47" s="153" t="s">
        <v>265</v>
      </c>
      <c r="Z47" s="96" t="s">
        <v>599</v>
      </c>
      <c r="AA47" s="41"/>
      <c r="AC47" s="153"/>
      <c r="AD47" s="153" t="s">
        <v>629</v>
      </c>
      <c r="AE47" s="96" t="s">
        <v>599</v>
      </c>
      <c r="AF47" s="42"/>
      <c r="AT47" s="153"/>
      <c r="AU47" s="153" t="s">
        <v>645</v>
      </c>
      <c r="AV47" s="96" t="s">
        <v>599</v>
      </c>
      <c r="AW47" s="42"/>
      <c r="BN47" s="153"/>
      <c r="BO47" s="182" t="s">
        <v>607</v>
      </c>
      <c r="BP47" s="166" t="s">
        <v>599</v>
      </c>
      <c r="BQ47" s="158"/>
      <c r="BS47" s="153"/>
      <c r="BT47" s="153" t="s">
        <v>644</v>
      </c>
      <c r="BU47" s="96" t="s">
        <v>599</v>
      </c>
      <c r="BV47" s="42"/>
      <c r="BX47" s="153"/>
      <c r="BY47" s="153" t="s">
        <v>736</v>
      </c>
      <c r="BZ47" s="96" t="s">
        <v>599</v>
      </c>
      <c r="CA47" s="42"/>
      <c r="CC47" s="153"/>
      <c r="CD47" s="153" t="s">
        <v>948</v>
      </c>
      <c r="CE47" s="96" t="s">
        <v>599</v>
      </c>
      <c r="CF47" s="41"/>
      <c r="CH47" s="185"/>
      <c r="CI47" s="185" t="s">
        <v>198</v>
      </c>
      <c r="CJ47" s="98" t="s">
        <v>599</v>
      </c>
      <c r="CK47" s="84"/>
      <c r="CW47" s="153"/>
      <c r="CX47" s="153" t="s">
        <v>230</v>
      </c>
      <c r="CY47" s="96" t="s">
        <v>599</v>
      </c>
      <c r="CZ47" s="42"/>
      <c r="DB47" s="153"/>
      <c r="DC47" s="153" t="s">
        <v>731</v>
      </c>
      <c r="DD47" s="96" t="s">
        <v>599</v>
      </c>
      <c r="DE47" s="42"/>
      <c r="DG47" s="154"/>
      <c r="DH47" s="154" t="s">
        <v>1020</v>
      </c>
      <c r="DI47" s="77" t="s">
        <v>602</v>
      </c>
      <c r="DJ47" s="63" t="s">
        <v>1021</v>
      </c>
      <c r="DL47" s="153"/>
      <c r="DM47" s="153" t="s">
        <v>1020</v>
      </c>
      <c r="DN47" s="50" t="s">
        <v>602</v>
      </c>
      <c r="DO47" s="43" t="s">
        <v>1021</v>
      </c>
    </row>
    <row r="48" spans="8:119">
      <c r="X48" s="153"/>
      <c r="Y48" s="153" t="s">
        <v>266</v>
      </c>
      <c r="Z48" s="96" t="s">
        <v>599</v>
      </c>
      <c r="AA48" s="42"/>
      <c r="AC48" s="153"/>
      <c r="AD48" s="153" t="s">
        <v>607</v>
      </c>
      <c r="AE48" s="96" t="s">
        <v>599</v>
      </c>
      <c r="AF48" s="41"/>
      <c r="AT48" s="153"/>
      <c r="AU48" s="153" t="s">
        <v>625</v>
      </c>
      <c r="AV48" s="96" t="s">
        <v>599</v>
      </c>
      <c r="AW48" s="41"/>
      <c r="BN48" s="153"/>
      <c r="BO48" s="182" t="s">
        <v>630</v>
      </c>
      <c r="BP48" s="166" t="s">
        <v>599</v>
      </c>
      <c r="BQ48" s="160"/>
      <c r="BS48" s="153"/>
      <c r="BT48" s="153" t="s">
        <v>736</v>
      </c>
      <c r="BU48" s="96" t="s">
        <v>599</v>
      </c>
      <c r="BV48" s="41"/>
      <c r="BX48" s="153"/>
      <c r="BY48" s="153" t="s">
        <v>737</v>
      </c>
      <c r="BZ48" s="96" t="s">
        <v>599</v>
      </c>
      <c r="CA48" s="41"/>
      <c r="CH48" s="185"/>
      <c r="CI48" s="185" t="s">
        <v>957</v>
      </c>
      <c r="CJ48" s="88" t="s">
        <v>602</v>
      </c>
      <c r="CK48" s="51" t="s">
        <v>958</v>
      </c>
      <c r="CW48" s="153"/>
      <c r="CX48" s="153" t="s">
        <v>644</v>
      </c>
      <c r="CY48" s="96" t="s">
        <v>599</v>
      </c>
      <c r="CZ48" s="41"/>
      <c r="DB48" s="153"/>
      <c r="DC48" s="153" t="s">
        <v>900</v>
      </c>
      <c r="DD48" s="96" t="s">
        <v>599</v>
      </c>
      <c r="DE48" s="41"/>
      <c r="DG48" s="154"/>
      <c r="DH48" s="154" t="s">
        <v>230</v>
      </c>
      <c r="DI48" s="95" t="s">
        <v>599</v>
      </c>
      <c r="DJ48" s="62"/>
      <c r="DL48" s="153"/>
      <c r="DM48" s="153" t="s">
        <v>230</v>
      </c>
      <c r="DN48" s="96" t="s">
        <v>599</v>
      </c>
      <c r="DO48" s="41"/>
    </row>
    <row r="49" spans="24:119">
      <c r="X49" s="153"/>
      <c r="Y49" s="153" t="s">
        <v>660</v>
      </c>
      <c r="Z49" s="96" t="s">
        <v>599</v>
      </c>
      <c r="AA49" s="41"/>
      <c r="AC49" s="153"/>
      <c r="AD49" s="153" t="s">
        <v>765</v>
      </c>
      <c r="AE49" s="96" t="s">
        <v>599</v>
      </c>
      <c r="AF49" s="42"/>
      <c r="AT49" s="153"/>
      <c r="AU49" s="153" t="s">
        <v>763</v>
      </c>
      <c r="AV49" s="96" t="s">
        <v>599</v>
      </c>
      <c r="AW49" s="43" t="s">
        <v>831</v>
      </c>
      <c r="BN49" s="153"/>
      <c r="BO49" s="182" t="s">
        <v>302</v>
      </c>
      <c r="BP49" s="166" t="s">
        <v>599</v>
      </c>
      <c r="BQ49" s="158"/>
      <c r="BS49" s="153"/>
      <c r="BT49" s="153" t="s">
        <v>624</v>
      </c>
      <c r="BU49" s="96" t="s">
        <v>599</v>
      </c>
      <c r="BV49" s="42"/>
      <c r="BX49" s="153"/>
      <c r="BY49" s="153" t="s">
        <v>761</v>
      </c>
      <c r="BZ49" s="96" t="s">
        <v>599</v>
      </c>
      <c r="CA49" s="42"/>
      <c r="CH49" s="185"/>
      <c r="CI49" s="185" t="s">
        <v>760</v>
      </c>
      <c r="CJ49" s="98" t="s">
        <v>599</v>
      </c>
      <c r="CK49" s="84"/>
      <c r="CW49" s="153"/>
      <c r="CX49" s="153" t="s">
        <v>985</v>
      </c>
      <c r="CY49" s="96" t="s">
        <v>599</v>
      </c>
      <c r="CZ49" s="42"/>
      <c r="DB49" s="153"/>
      <c r="DC49" s="153" t="s">
        <v>732</v>
      </c>
      <c r="DD49" s="96" t="s">
        <v>599</v>
      </c>
      <c r="DE49" s="42"/>
      <c r="DG49" s="154"/>
      <c r="DH49" s="154" t="s">
        <v>644</v>
      </c>
      <c r="DI49" s="77" t="s">
        <v>602</v>
      </c>
      <c r="DJ49" s="63" t="s">
        <v>1022</v>
      </c>
      <c r="DL49" s="153"/>
      <c r="DM49" s="153" t="s">
        <v>644</v>
      </c>
      <c r="DN49" s="50" t="s">
        <v>602</v>
      </c>
      <c r="DO49" s="43" t="s">
        <v>1022</v>
      </c>
    </row>
    <row r="50" spans="24:119">
      <c r="X50" s="153"/>
      <c r="Y50" s="153" t="s">
        <v>742</v>
      </c>
      <c r="Z50" s="96" t="s">
        <v>599</v>
      </c>
      <c r="AA50" s="42"/>
      <c r="AC50" s="153"/>
      <c r="AD50" s="153" t="s">
        <v>630</v>
      </c>
      <c r="AE50" s="96" t="s">
        <v>599</v>
      </c>
      <c r="AF50" s="41"/>
      <c r="AT50" s="153"/>
      <c r="AU50" s="153" t="s">
        <v>264</v>
      </c>
      <c r="AV50" s="96" t="s">
        <v>599</v>
      </c>
      <c r="AW50" s="41"/>
      <c r="BN50" s="153"/>
      <c r="BO50" s="182" t="s">
        <v>686</v>
      </c>
      <c r="BP50" s="166" t="s">
        <v>599</v>
      </c>
      <c r="BQ50" s="160"/>
      <c r="BS50" s="153"/>
      <c r="BT50" s="153" t="s">
        <v>761</v>
      </c>
      <c r="BU50" s="96" t="s">
        <v>599</v>
      </c>
      <c r="BV50" s="41"/>
      <c r="BX50" s="153"/>
      <c r="BY50" s="153" t="s">
        <v>231</v>
      </c>
      <c r="BZ50" s="96" t="s">
        <v>599</v>
      </c>
      <c r="CA50" s="41"/>
      <c r="CH50" s="185"/>
      <c r="CI50" s="185" t="s">
        <v>229</v>
      </c>
      <c r="CJ50" s="98" t="s">
        <v>599</v>
      </c>
      <c r="CK50" s="85"/>
      <c r="CW50" s="153"/>
      <c r="CX50" s="153" t="s">
        <v>761</v>
      </c>
      <c r="CY50" s="96" t="s">
        <v>599</v>
      </c>
      <c r="CZ50" s="51" t="s">
        <v>986</v>
      </c>
      <c r="DB50" s="153"/>
      <c r="DC50" s="153" t="s">
        <v>197</v>
      </c>
      <c r="DD50" s="96" t="s">
        <v>599</v>
      </c>
      <c r="DE50" s="51" t="s">
        <v>887</v>
      </c>
      <c r="DG50" s="154"/>
      <c r="DH50" s="154" t="s">
        <v>761</v>
      </c>
      <c r="DI50" s="95" t="s">
        <v>599</v>
      </c>
      <c r="DJ50" s="62"/>
      <c r="DL50" s="153"/>
      <c r="DM50" s="153" t="s">
        <v>761</v>
      </c>
      <c r="DN50" s="96" t="s">
        <v>599</v>
      </c>
      <c r="DO50" s="41"/>
    </row>
    <row r="51" spans="24:119">
      <c r="X51" s="153"/>
      <c r="Y51" s="153" t="s">
        <v>647</v>
      </c>
      <c r="Z51" s="96" t="s">
        <v>599</v>
      </c>
      <c r="AA51" s="51" t="s">
        <v>743</v>
      </c>
      <c r="AC51" s="153"/>
      <c r="AD51" s="153" t="s">
        <v>302</v>
      </c>
      <c r="AE51" s="96" t="s">
        <v>599</v>
      </c>
      <c r="AF51" s="42"/>
      <c r="AT51" s="153"/>
      <c r="AU51" s="153" t="s">
        <v>626</v>
      </c>
      <c r="AV51" s="96" t="s">
        <v>599</v>
      </c>
      <c r="AW51" s="42"/>
      <c r="BN51" s="153"/>
      <c r="BO51" s="182" t="s">
        <v>901</v>
      </c>
      <c r="BP51" s="166" t="s">
        <v>599</v>
      </c>
      <c r="BQ51" s="158"/>
      <c r="BS51" s="153"/>
      <c r="BT51" s="153" t="s">
        <v>231</v>
      </c>
      <c r="BU51" s="96" t="s">
        <v>599</v>
      </c>
      <c r="BV51" s="42"/>
      <c r="BX51" s="153"/>
      <c r="BY51" s="153" t="s">
        <v>625</v>
      </c>
      <c r="BZ51" s="96" t="s">
        <v>599</v>
      </c>
      <c r="CA51" s="42"/>
      <c r="CH51" s="185"/>
      <c r="CI51" s="185" t="s">
        <v>644</v>
      </c>
      <c r="CJ51" s="98" t="s">
        <v>599</v>
      </c>
      <c r="CK51" s="84"/>
      <c r="CW51" s="153"/>
      <c r="CX51" s="153" t="s">
        <v>987</v>
      </c>
      <c r="CY51" s="96" t="s">
        <v>599</v>
      </c>
      <c r="CZ51" s="42"/>
      <c r="DB51" s="153"/>
      <c r="DC51" s="153" t="s">
        <v>199</v>
      </c>
      <c r="DD51" s="96" t="s">
        <v>599</v>
      </c>
      <c r="DE51" s="42"/>
      <c r="DG51" s="154"/>
      <c r="DH51" s="154" t="s">
        <v>941</v>
      </c>
      <c r="DI51" s="95" t="s">
        <v>599</v>
      </c>
      <c r="DJ51" s="61"/>
      <c r="DL51" s="153"/>
      <c r="DM51" s="153" t="s">
        <v>941</v>
      </c>
      <c r="DN51" s="96" t="s">
        <v>599</v>
      </c>
      <c r="DO51" s="42"/>
    </row>
    <row r="52" spans="24:119">
      <c r="X52" s="153"/>
      <c r="Y52" s="153" t="s">
        <v>607</v>
      </c>
      <c r="Z52" s="96" t="s">
        <v>599</v>
      </c>
      <c r="AA52" s="43" t="s">
        <v>744</v>
      </c>
      <c r="AC52" s="153"/>
      <c r="AD52" s="153" t="s">
        <v>746</v>
      </c>
      <c r="AE52" s="96" t="s">
        <v>599</v>
      </c>
      <c r="AF52" s="41"/>
      <c r="AT52" s="153"/>
      <c r="AU52" s="153" t="s">
        <v>606</v>
      </c>
      <c r="AV52" s="96" t="s">
        <v>599</v>
      </c>
      <c r="AW52" s="41"/>
      <c r="BN52" s="153"/>
      <c r="BO52" s="182" t="s">
        <v>748</v>
      </c>
      <c r="BP52" s="166" t="s">
        <v>599</v>
      </c>
      <c r="BQ52" s="160"/>
      <c r="BS52" s="153"/>
      <c r="BT52" s="153" t="s">
        <v>625</v>
      </c>
      <c r="BU52" s="96" t="s">
        <v>599</v>
      </c>
      <c r="BV52" s="41"/>
      <c r="BX52" s="153"/>
      <c r="BY52" s="153" t="s">
        <v>763</v>
      </c>
      <c r="BZ52" s="96" t="s">
        <v>599</v>
      </c>
      <c r="CA52" s="41"/>
      <c r="CH52" s="185"/>
      <c r="CI52" s="185" t="s">
        <v>736</v>
      </c>
      <c r="CJ52" s="98" t="s">
        <v>599</v>
      </c>
      <c r="CK52" s="85"/>
      <c r="CW52" s="153"/>
      <c r="CX52" s="153" t="s">
        <v>231</v>
      </c>
      <c r="CY52" s="96" t="s">
        <v>599</v>
      </c>
      <c r="CZ52" s="41"/>
      <c r="DB52" s="153"/>
      <c r="DC52" s="153" t="s">
        <v>198</v>
      </c>
      <c r="DD52" s="96" t="s">
        <v>599</v>
      </c>
      <c r="DE52" s="41"/>
      <c r="DG52" s="154"/>
      <c r="DH52" s="154" t="s">
        <v>231</v>
      </c>
      <c r="DI52" s="95" t="s">
        <v>599</v>
      </c>
      <c r="DJ52" s="62"/>
      <c r="DL52" s="153"/>
      <c r="DM52" s="153" t="s">
        <v>231</v>
      </c>
      <c r="DN52" s="96" t="s">
        <v>599</v>
      </c>
      <c r="DO52" s="41"/>
    </row>
    <row r="53" spans="24:119">
      <c r="X53" s="153"/>
      <c r="Y53" s="153" t="s">
        <v>630</v>
      </c>
      <c r="Z53" s="96" t="s">
        <v>599</v>
      </c>
      <c r="AA53" s="41"/>
      <c r="AC53" s="153"/>
      <c r="AD53" s="153" t="s">
        <v>766</v>
      </c>
      <c r="AE53" s="96" t="s">
        <v>599</v>
      </c>
      <c r="AF53" s="42"/>
      <c r="AT53" s="153"/>
      <c r="AU53" s="153" t="s">
        <v>656</v>
      </c>
      <c r="AV53" s="96" t="s">
        <v>599</v>
      </c>
      <c r="AW53" s="42"/>
      <c r="BN53" s="153"/>
      <c r="BO53" s="182" t="s">
        <v>609</v>
      </c>
      <c r="BP53" s="166" t="s">
        <v>599</v>
      </c>
      <c r="BQ53" s="158"/>
      <c r="BS53" s="153"/>
      <c r="BT53" s="153" t="s">
        <v>264</v>
      </c>
      <c r="BU53" s="96" t="s">
        <v>599</v>
      </c>
      <c r="BV53" s="42"/>
      <c r="BX53" s="153"/>
      <c r="BY53" s="153" t="s">
        <v>626</v>
      </c>
      <c r="BZ53" s="96" t="s">
        <v>599</v>
      </c>
      <c r="CA53" s="42"/>
      <c r="CH53" s="185"/>
      <c r="CI53" s="185" t="s">
        <v>761</v>
      </c>
      <c r="CJ53" s="98" t="s">
        <v>599</v>
      </c>
      <c r="CK53" s="84"/>
      <c r="CW53" s="153"/>
      <c r="CX53" s="153" t="s">
        <v>645</v>
      </c>
      <c r="CY53" s="96" t="s">
        <v>599</v>
      </c>
      <c r="CZ53" s="42"/>
      <c r="DB53" s="153"/>
      <c r="DC53" s="153" t="s">
        <v>760</v>
      </c>
      <c r="DD53" s="96" t="s">
        <v>599</v>
      </c>
      <c r="DE53" s="42"/>
      <c r="DG53" s="154"/>
      <c r="DH53" s="154" t="s">
        <v>645</v>
      </c>
      <c r="DI53" s="95" t="s">
        <v>599</v>
      </c>
      <c r="DJ53" s="61"/>
      <c r="DL53" s="153"/>
      <c r="DM53" s="153" t="s">
        <v>645</v>
      </c>
      <c r="DN53" s="96" t="s">
        <v>599</v>
      </c>
      <c r="DO53" s="42"/>
    </row>
    <row r="54" spans="24:119">
      <c r="X54" s="153"/>
      <c r="Y54" s="153" t="s">
        <v>302</v>
      </c>
      <c r="Z54" s="96" t="s">
        <v>599</v>
      </c>
      <c r="AA54" s="43" t="s">
        <v>745</v>
      </c>
      <c r="AC54" s="153"/>
      <c r="AD54" s="153" t="s">
        <v>686</v>
      </c>
      <c r="AE54" s="96" t="s">
        <v>599</v>
      </c>
      <c r="AF54" s="41"/>
      <c r="AT54" s="153"/>
      <c r="AU54" s="153" t="s">
        <v>739</v>
      </c>
      <c r="AV54" s="96" t="s">
        <v>599</v>
      </c>
      <c r="AW54" s="41"/>
      <c r="BN54" s="153"/>
      <c r="BO54" s="182" t="s">
        <v>648</v>
      </c>
      <c r="BP54" s="166" t="s">
        <v>599</v>
      </c>
      <c r="BQ54" s="160"/>
      <c r="BS54" s="153"/>
      <c r="BT54" s="153" t="s">
        <v>626</v>
      </c>
      <c r="BU54" s="96" t="s">
        <v>599</v>
      </c>
      <c r="BV54" s="41"/>
      <c r="BX54" s="153"/>
      <c r="BY54" s="153" t="s">
        <v>606</v>
      </c>
      <c r="BZ54" s="96" t="s">
        <v>599</v>
      </c>
      <c r="CA54" s="41"/>
      <c r="CH54" s="185"/>
      <c r="CI54" s="185" t="s">
        <v>645</v>
      </c>
      <c r="CJ54" s="98" t="s">
        <v>599</v>
      </c>
      <c r="CK54" s="85"/>
      <c r="CW54" s="153"/>
      <c r="CX54" s="153" t="s">
        <v>625</v>
      </c>
      <c r="CY54" s="96" t="s">
        <v>599</v>
      </c>
      <c r="CZ54" s="41"/>
      <c r="DB54" s="153"/>
      <c r="DC54" s="153" t="s">
        <v>229</v>
      </c>
      <c r="DD54" s="96" t="s">
        <v>599</v>
      </c>
      <c r="DE54" s="41"/>
      <c r="DG54" s="154"/>
      <c r="DH54" s="154" t="s">
        <v>763</v>
      </c>
      <c r="DI54" s="95" t="s">
        <v>599</v>
      </c>
      <c r="DJ54" s="62"/>
      <c r="DL54" s="153"/>
      <c r="DM54" s="153" t="s">
        <v>763</v>
      </c>
      <c r="DN54" s="96" t="s">
        <v>599</v>
      </c>
      <c r="DO54" s="41"/>
    </row>
    <row r="55" spans="24:119">
      <c r="X55" s="153"/>
      <c r="Y55" s="153" t="s">
        <v>746</v>
      </c>
      <c r="Z55" s="96" t="s">
        <v>599</v>
      </c>
      <c r="AA55" s="41"/>
      <c r="AC55" s="153"/>
      <c r="AD55" s="153" t="s">
        <v>748</v>
      </c>
      <c r="AE55" s="96" t="s">
        <v>599</v>
      </c>
      <c r="AF55" s="42"/>
      <c r="AT55" s="153"/>
      <c r="AU55" s="153" t="s">
        <v>740</v>
      </c>
      <c r="AV55" s="96" t="s">
        <v>599</v>
      </c>
      <c r="AW55" s="42"/>
      <c r="BN55" s="153"/>
      <c r="BO55" s="182" t="s">
        <v>649</v>
      </c>
      <c r="BP55" s="166" t="s">
        <v>599</v>
      </c>
      <c r="BQ55" s="158"/>
      <c r="BS55" s="153"/>
      <c r="BT55" s="153" t="s">
        <v>606</v>
      </c>
      <c r="BU55" s="96" t="s">
        <v>599</v>
      </c>
      <c r="BV55" s="42"/>
      <c r="BX55" s="153"/>
      <c r="BY55" s="153" t="s">
        <v>656</v>
      </c>
      <c r="BZ55" s="96" t="s">
        <v>599</v>
      </c>
      <c r="CA55" s="42"/>
      <c r="CH55" s="185"/>
      <c r="CI55" s="185" t="s">
        <v>944</v>
      </c>
      <c r="CJ55" s="98" t="s">
        <v>599</v>
      </c>
      <c r="CK55" s="84"/>
      <c r="CW55" s="153"/>
      <c r="CX55" s="153" t="s">
        <v>762</v>
      </c>
      <c r="CY55" s="96" t="s">
        <v>599</v>
      </c>
      <c r="CZ55" s="42"/>
      <c r="DB55" s="153"/>
      <c r="DC55" s="153" t="s">
        <v>644</v>
      </c>
      <c r="DD55" s="96" t="s">
        <v>599</v>
      </c>
      <c r="DE55" s="42"/>
      <c r="DG55" s="154"/>
      <c r="DH55" s="154" t="s">
        <v>264</v>
      </c>
      <c r="DI55" s="95" t="s">
        <v>599</v>
      </c>
      <c r="DJ55" s="61" t="s">
        <v>965</v>
      </c>
      <c r="DL55" s="153"/>
      <c r="DM55" s="153" t="s">
        <v>264</v>
      </c>
      <c r="DN55" s="96" t="s">
        <v>599</v>
      </c>
      <c r="DO55" s="42" t="s">
        <v>965</v>
      </c>
    </row>
    <row r="56" spans="24:119">
      <c r="X56" s="153"/>
      <c r="Y56" s="153" t="s">
        <v>747</v>
      </c>
      <c r="Z56" s="96" t="s">
        <v>599</v>
      </c>
      <c r="AA56" s="42"/>
      <c r="AC56" s="153"/>
      <c r="AD56" s="153" t="s">
        <v>609</v>
      </c>
      <c r="AE56" s="96" t="s">
        <v>599</v>
      </c>
      <c r="AF56" s="41"/>
      <c r="AT56" s="153"/>
      <c r="AU56" s="153" t="s">
        <v>832</v>
      </c>
      <c r="AV56" s="96" t="s">
        <v>599</v>
      </c>
      <c r="AW56" s="41"/>
      <c r="BN56" s="183"/>
      <c r="BO56" s="184" t="s">
        <v>835</v>
      </c>
      <c r="BP56" s="166" t="s">
        <v>599</v>
      </c>
      <c r="BQ56" s="104"/>
      <c r="BS56" s="153"/>
      <c r="BT56" s="153" t="s">
        <v>656</v>
      </c>
      <c r="BU56" s="96" t="s">
        <v>599</v>
      </c>
      <c r="BV56" s="41"/>
      <c r="BX56" s="153"/>
      <c r="BY56" s="153" t="s">
        <v>739</v>
      </c>
      <c r="BZ56" s="96" t="s">
        <v>599</v>
      </c>
      <c r="CA56" s="41"/>
      <c r="CH56" s="185"/>
      <c r="CI56" s="185" t="s">
        <v>625</v>
      </c>
      <c r="CJ56" s="98" t="s">
        <v>599</v>
      </c>
      <c r="CK56" s="85"/>
      <c r="CW56" s="153"/>
      <c r="CX56" s="153" t="s">
        <v>763</v>
      </c>
      <c r="CY56" s="96" t="s">
        <v>599</v>
      </c>
      <c r="CZ56" s="41"/>
      <c r="DB56" s="153"/>
      <c r="DC56" s="153" t="s">
        <v>736</v>
      </c>
      <c r="DD56" s="96" t="s">
        <v>599</v>
      </c>
      <c r="DE56" s="41"/>
      <c r="DG56" s="154"/>
      <c r="DH56" s="154" t="s">
        <v>959</v>
      </c>
      <c r="DI56" s="95" t="s">
        <v>599</v>
      </c>
      <c r="DJ56" s="62"/>
      <c r="DL56" s="153"/>
      <c r="DM56" s="153" t="s">
        <v>959</v>
      </c>
      <c r="DN56" s="96" t="s">
        <v>599</v>
      </c>
      <c r="DO56" s="41"/>
    </row>
    <row r="57" spans="24:119">
      <c r="X57" s="153"/>
      <c r="Y57" s="153" t="s">
        <v>748</v>
      </c>
      <c r="Z57" s="96" t="s">
        <v>599</v>
      </c>
      <c r="AA57" s="51" t="s">
        <v>749</v>
      </c>
      <c r="AC57" s="153"/>
      <c r="AD57" s="153" t="s">
        <v>648</v>
      </c>
      <c r="AE57" s="96" t="s">
        <v>599</v>
      </c>
      <c r="AF57" s="42"/>
      <c r="AT57" s="153"/>
      <c r="AU57" s="153" t="s">
        <v>741</v>
      </c>
      <c r="AV57" s="96" t="s">
        <v>599</v>
      </c>
      <c r="AW57" s="42"/>
      <c r="BN57" s="163"/>
      <c r="BO57" s="164"/>
      <c r="BP57" s="165"/>
      <c r="BQ57" s="165"/>
      <c r="BS57" s="153"/>
      <c r="BT57" s="153" t="s">
        <v>739</v>
      </c>
      <c r="BU57" s="96" t="s">
        <v>599</v>
      </c>
      <c r="BV57" s="42"/>
      <c r="BX57" s="153"/>
      <c r="BY57" s="153" t="s">
        <v>740</v>
      </c>
      <c r="BZ57" s="96" t="s">
        <v>599</v>
      </c>
      <c r="CA57" s="43" t="s">
        <v>932</v>
      </c>
      <c r="CH57" s="185"/>
      <c r="CI57" s="185" t="s">
        <v>762</v>
      </c>
      <c r="CJ57" s="98" t="s">
        <v>599</v>
      </c>
      <c r="CK57" s="84"/>
      <c r="CW57" s="153"/>
      <c r="CX57" s="153" t="s">
        <v>264</v>
      </c>
      <c r="CY57" s="96" t="s">
        <v>599</v>
      </c>
      <c r="CZ57" s="42"/>
      <c r="DB57" s="153"/>
      <c r="DC57" s="153" t="s">
        <v>985</v>
      </c>
      <c r="DD57" s="96" t="s">
        <v>599</v>
      </c>
      <c r="DE57" s="42"/>
      <c r="DG57" s="154"/>
      <c r="DH57" s="154" t="s">
        <v>626</v>
      </c>
      <c r="DI57" s="95" t="s">
        <v>599</v>
      </c>
      <c r="DJ57" s="61"/>
      <c r="DL57" s="153"/>
      <c r="DM57" s="153" t="s">
        <v>626</v>
      </c>
      <c r="DN57" s="96" t="s">
        <v>599</v>
      </c>
      <c r="DO57" s="42"/>
    </row>
    <row r="58" spans="24:119">
      <c r="X58" s="153"/>
      <c r="Y58" s="153" t="s">
        <v>609</v>
      </c>
      <c r="Z58" s="96" t="s">
        <v>599</v>
      </c>
      <c r="AA58" s="42"/>
      <c r="AC58" s="153"/>
      <c r="AD58" s="153" t="s">
        <v>649</v>
      </c>
      <c r="AE58" s="96" t="s">
        <v>599</v>
      </c>
      <c r="AF58" s="44"/>
      <c r="AT58" s="153"/>
      <c r="AU58" s="153" t="s">
        <v>266</v>
      </c>
      <c r="AV58" s="96" t="s">
        <v>599</v>
      </c>
      <c r="AW58" s="41"/>
      <c r="BO58" s="162"/>
      <c r="BS58" s="153"/>
      <c r="BT58" s="153" t="s">
        <v>740</v>
      </c>
      <c r="BU58" s="96" t="s">
        <v>599</v>
      </c>
      <c r="BV58" s="41"/>
      <c r="BX58" s="153"/>
      <c r="BY58" s="153" t="s">
        <v>628</v>
      </c>
      <c r="BZ58" s="96" t="s">
        <v>599</v>
      </c>
      <c r="CA58" s="41"/>
      <c r="CH58" s="185"/>
      <c r="CI58" s="185" t="s">
        <v>763</v>
      </c>
      <c r="CJ58" s="98" t="s">
        <v>599</v>
      </c>
      <c r="CK58" s="85"/>
      <c r="CW58" s="153"/>
      <c r="CX58" s="153" t="s">
        <v>988</v>
      </c>
      <c r="CY58" s="96" t="s">
        <v>599</v>
      </c>
      <c r="CZ58" s="41"/>
      <c r="DB58" s="153"/>
      <c r="DC58" s="153" t="s">
        <v>737</v>
      </c>
      <c r="DD58" s="96" t="s">
        <v>599</v>
      </c>
      <c r="DE58" s="41"/>
      <c r="DG58" s="154"/>
      <c r="DH58" s="154" t="s">
        <v>606</v>
      </c>
      <c r="DI58" s="95" t="s">
        <v>599</v>
      </c>
      <c r="DJ58" s="62"/>
      <c r="DL58" s="153"/>
      <c r="DM58" s="153" t="s">
        <v>606</v>
      </c>
      <c r="DN58" s="96" t="s">
        <v>599</v>
      </c>
      <c r="DO58" s="41"/>
    </row>
    <row r="59" spans="24:119">
      <c r="X59" s="153"/>
      <c r="Y59" s="153" t="s">
        <v>648</v>
      </c>
      <c r="Z59" s="96" t="s">
        <v>599</v>
      </c>
      <c r="AA59" s="41"/>
      <c r="AC59" s="153"/>
      <c r="AD59" s="153" t="s">
        <v>767</v>
      </c>
      <c r="AE59" s="96" t="s">
        <v>599</v>
      </c>
      <c r="AF59" s="41"/>
      <c r="AT59" s="153"/>
      <c r="AU59" s="153" t="s">
        <v>660</v>
      </c>
      <c r="AV59" s="96" t="s">
        <v>599</v>
      </c>
      <c r="AW59" s="42"/>
      <c r="BS59" s="153"/>
      <c r="BT59" s="153" t="s">
        <v>628</v>
      </c>
      <c r="BU59" s="96" t="s">
        <v>599</v>
      </c>
      <c r="BV59" s="42"/>
      <c r="BX59" s="153"/>
      <c r="BY59" s="153" t="s">
        <v>832</v>
      </c>
      <c r="BZ59" s="96" t="s">
        <v>599</v>
      </c>
      <c r="CA59" s="42"/>
      <c r="CH59" s="185"/>
      <c r="CI59" s="185" t="s">
        <v>264</v>
      </c>
      <c r="CJ59" s="98" t="s">
        <v>599</v>
      </c>
      <c r="CK59" s="84"/>
      <c r="CW59" s="153"/>
      <c r="CX59" s="153" t="s">
        <v>959</v>
      </c>
      <c r="CY59" s="96" t="s">
        <v>599</v>
      </c>
      <c r="CZ59" s="42"/>
      <c r="DB59" s="153"/>
      <c r="DC59" s="153" t="s">
        <v>761</v>
      </c>
      <c r="DD59" s="96" t="s">
        <v>599</v>
      </c>
      <c r="DE59" s="42"/>
      <c r="DG59" s="154"/>
      <c r="DH59" s="154" t="s">
        <v>739</v>
      </c>
      <c r="DI59" s="95" t="s">
        <v>599</v>
      </c>
      <c r="DJ59" s="63" t="s">
        <v>1023</v>
      </c>
      <c r="DL59" s="153"/>
      <c r="DM59" s="153" t="s">
        <v>739</v>
      </c>
      <c r="DN59" s="96" t="s">
        <v>599</v>
      </c>
      <c r="DO59" s="43" t="s">
        <v>1023</v>
      </c>
    </row>
    <row r="60" spans="24:119">
      <c r="X60" s="153"/>
      <c r="Y60" s="153" t="s">
        <v>649</v>
      </c>
      <c r="Z60" s="96" t="s">
        <v>599</v>
      </c>
      <c r="AA60" s="41"/>
      <c r="AT60" s="153"/>
      <c r="AU60" s="153" t="s">
        <v>742</v>
      </c>
      <c r="AV60" s="96" t="s">
        <v>599</v>
      </c>
      <c r="AW60" s="41"/>
      <c r="BS60" s="153"/>
      <c r="BT60" s="153" t="s">
        <v>832</v>
      </c>
      <c r="BU60" s="96" t="s">
        <v>599</v>
      </c>
      <c r="BV60" s="51" t="s">
        <v>913</v>
      </c>
      <c r="BX60" s="153"/>
      <c r="BY60" s="153" t="s">
        <v>741</v>
      </c>
      <c r="BZ60" s="96" t="s">
        <v>599</v>
      </c>
      <c r="CA60" s="41"/>
      <c r="CH60" s="185"/>
      <c r="CI60" s="185" t="s">
        <v>959</v>
      </c>
      <c r="CJ60" s="98" t="s">
        <v>599</v>
      </c>
      <c r="CK60" s="85"/>
      <c r="CW60" s="153"/>
      <c r="CX60" s="153" t="s">
        <v>626</v>
      </c>
      <c r="CY60" s="96" t="s">
        <v>599</v>
      </c>
      <c r="CZ60" s="51" t="s">
        <v>989</v>
      </c>
      <c r="DB60" s="153"/>
      <c r="DC60" s="153" t="s">
        <v>231</v>
      </c>
      <c r="DD60" s="96" t="s">
        <v>599</v>
      </c>
      <c r="DE60" s="41"/>
      <c r="DG60" s="154"/>
      <c r="DH60" s="154" t="s">
        <v>914</v>
      </c>
      <c r="DI60" s="77" t="s">
        <v>602</v>
      </c>
      <c r="DJ60" s="64" t="s">
        <v>1024</v>
      </c>
      <c r="DL60" s="153"/>
      <c r="DM60" s="153" t="s">
        <v>914</v>
      </c>
      <c r="DN60" s="50" t="s">
        <v>602</v>
      </c>
      <c r="DO60" s="51" t="s">
        <v>1024</v>
      </c>
    </row>
    <row r="61" spans="24:119">
      <c r="AT61" s="153"/>
      <c r="AU61" s="153" t="s">
        <v>647</v>
      </c>
      <c r="AV61" s="96" t="s">
        <v>599</v>
      </c>
      <c r="AW61" s="42"/>
      <c r="BS61" s="153"/>
      <c r="BT61" s="153" t="s">
        <v>914</v>
      </c>
      <c r="BU61" s="50" t="s">
        <v>602</v>
      </c>
      <c r="BV61" s="43" t="s">
        <v>915</v>
      </c>
      <c r="BX61" s="153"/>
      <c r="BY61" s="153" t="s">
        <v>266</v>
      </c>
      <c r="BZ61" s="96" t="s">
        <v>599</v>
      </c>
      <c r="CA61" s="42"/>
      <c r="CH61" s="185"/>
      <c r="CI61" s="185" t="s">
        <v>626</v>
      </c>
      <c r="CJ61" s="98" t="s">
        <v>599</v>
      </c>
      <c r="CK61" s="84"/>
      <c r="CW61" s="153"/>
      <c r="CX61" s="153" t="s">
        <v>606</v>
      </c>
      <c r="CY61" s="96" t="s">
        <v>599</v>
      </c>
      <c r="CZ61" s="42"/>
      <c r="DB61" s="153"/>
      <c r="DC61" s="153" t="s">
        <v>645</v>
      </c>
      <c r="DD61" s="96" t="s">
        <v>599</v>
      </c>
      <c r="DE61" s="42"/>
      <c r="DG61" s="154"/>
      <c r="DH61" s="154" t="s">
        <v>741</v>
      </c>
      <c r="DI61" s="77" t="s">
        <v>602</v>
      </c>
      <c r="DJ61" s="63" t="s">
        <v>1025</v>
      </c>
      <c r="DL61" s="153"/>
      <c r="DM61" s="153" t="s">
        <v>741</v>
      </c>
      <c r="DN61" s="50" t="s">
        <v>602</v>
      </c>
      <c r="DO61" s="43" t="s">
        <v>1025</v>
      </c>
    </row>
    <row r="62" spans="24:119">
      <c r="AT62" s="153"/>
      <c r="AU62" s="153" t="s">
        <v>629</v>
      </c>
      <c r="AV62" s="96" t="s">
        <v>599</v>
      </c>
      <c r="AW62" s="41"/>
      <c r="BS62" s="153"/>
      <c r="BT62" s="153" t="s">
        <v>741</v>
      </c>
      <c r="BU62" s="50" t="s">
        <v>602</v>
      </c>
      <c r="BV62" s="51" t="s">
        <v>916</v>
      </c>
      <c r="BX62" s="153"/>
      <c r="BY62" s="153" t="s">
        <v>660</v>
      </c>
      <c r="BZ62" s="96" t="s">
        <v>599</v>
      </c>
      <c r="CA62" s="41"/>
      <c r="CH62" s="185"/>
      <c r="CI62" s="185" t="s">
        <v>606</v>
      </c>
      <c r="CJ62" s="98" t="s">
        <v>599</v>
      </c>
      <c r="CK62" s="85"/>
      <c r="CW62" s="153"/>
      <c r="CX62" s="153" t="s">
        <v>656</v>
      </c>
      <c r="CY62" s="96" t="s">
        <v>599</v>
      </c>
      <c r="CZ62" s="41"/>
      <c r="DB62" s="153"/>
      <c r="DC62" s="153" t="s">
        <v>625</v>
      </c>
      <c r="DD62" s="96" t="s">
        <v>599</v>
      </c>
      <c r="DE62" s="41"/>
      <c r="DG62" s="154"/>
      <c r="DH62" s="154" t="s">
        <v>265</v>
      </c>
      <c r="DI62" s="95" t="s">
        <v>599</v>
      </c>
      <c r="DJ62" s="62"/>
      <c r="DL62" s="153"/>
      <c r="DM62" s="153" t="s">
        <v>265</v>
      </c>
      <c r="DN62" s="96" t="s">
        <v>599</v>
      </c>
      <c r="DO62" s="41"/>
    </row>
    <row r="63" spans="24:119">
      <c r="AT63" s="153"/>
      <c r="AU63" s="153" t="s">
        <v>607</v>
      </c>
      <c r="AV63" s="96" t="s">
        <v>599</v>
      </c>
      <c r="AW63" s="42"/>
      <c r="BS63" s="153"/>
      <c r="BT63" s="153" t="s">
        <v>265</v>
      </c>
      <c r="BU63" s="96" t="s">
        <v>599</v>
      </c>
      <c r="BV63" s="42"/>
      <c r="BX63" s="153"/>
      <c r="BY63" s="153" t="s">
        <v>742</v>
      </c>
      <c r="BZ63" s="96" t="s">
        <v>599</v>
      </c>
      <c r="CA63" s="42"/>
      <c r="CH63" s="185"/>
      <c r="CI63" s="185" t="s">
        <v>656</v>
      </c>
      <c r="CJ63" s="98" t="s">
        <v>599</v>
      </c>
      <c r="CK63" s="84"/>
      <c r="CW63" s="153"/>
      <c r="CX63" s="153" t="s">
        <v>739</v>
      </c>
      <c r="CY63" s="96" t="s">
        <v>599</v>
      </c>
      <c r="CZ63" s="42"/>
      <c r="DB63" s="153"/>
      <c r="DC63" s="153" t="s">
        <v>762</v>
      </c>
      <c r="DD63" s="50" t="s">
        <v>602</v>
      </c>
      <c r="DE63" s="43" t="s">
        <v>1005</v>
      </c>
      <c r="DG63" s="154"/>
      <c r="DH63" s="154" t="s">
        <v>266</v>
      </c>
      <c r="DI63" s="95" t="s">
        <v>599</v>
      </c>
      <c r="DJ63" s="61"/>
      <c r="DL63" s="153"/>
      <c r="DM63" s="153" t="s">
        <v>266</v>
      </c>
      <c r="DN63" s="96" t="s">
        <v>599</v>
      </c>
      <c r="DO63" s="42"/>
    </row>
    <row r="64" spans="24:119">
      <c r="AT64" s="153"/>
      <c r="AU64" s="153" t="s">
        <v>630</v>
      </c>
      <c r="AV64" s="96" t="s">
        <v>599</v>
      </c>
      <c r="AW64" s="41"/>
      <c r="BS64" s="153"/>
      <c r="BT64" s="153" t="s">
        <v>266</v>
      </c>
      <c r="BU64" s="96" t="s">
        <v>599</v>
      </c>
      <c r="BV64" s="51" t="s">
        <v>917</v>
      </c>
      <c r="BX64" s="153"/>
      <c r="BY64" s="153" t="s">
        <v>647</v>
      </c>
      <c r="BZ64" s="96" t="s">
        <v>599</v>
      </c>
      <c r="CA64" s="41"/>
      <c r="CH64" s="185"/>
      <c r="CI64" s="185" t="s">
        <v>739</v>
      </c>
      <c r="CJ64" s="98" t="s">
        <v>599</v>
      </c>
      <c r="CK64" s="85"/>
      <c r="CW64" s="153"/>
      <c r="CX64" s="153" t="s">
        <v>740</v>
      </c>
      <c r="CY64" s="96" t="s">
        <v>599</v>
      </c>
      <c r="CZ64" s="41"/>
      <c r="DB64" s="153"/>
      <c r="DC64" s="153" t="s">
        <v>763</v>
      </c>
      <c r="DD64" s="96" t="s">
        <v>599</v>
      </c>
      <c r="DE64" s="41"/>
      <c r="DG64" s="154"/>
      <c r="DH64" s="154" t="s">
        <v>660</v>
      </c>
      <c r="DI64" s="77" t="s">
        <v>602</v>
      </c>
      <c r="DJ64" s="62"/>
      <c r="DL64" s="153"/>
      <c r="DM64" s="153" t="s">
        <v>660</v>
      </c>
      <c r="DN64" s="50" t="s">
        <v>602</v>
      </c>
      <c r="DO64" s="41"/>
    </row>
    <row r="65" spans="46:119">
      <c r="AT65" s="153"/>
      <c r="AU65" s="153" t="s">
        <v>302</v>
      </c>
      <c r="AV65" s="96" t="s">
        <v>599</v>
      </c>
      <c r="AW65" s="42"/>
      <c r="BS65" s="153"/>
      <c r="BT65" s="153" t="s">
        <v>660</v>
      </c>
      <c r="BU65" s="96" t="s">
        <v>599</v>
      </c>
      <c r="BV65" s="42"/>
      <c r="BX65" s="153"/>
      <c r="BY65" s="153" t="s">
        <v>629</v>
      </c>
      <c r="BZ65" s="96" t="s">
        <v>599</v>
      </c>
      <c r="CA65" s="42"/>
      <c r="CH65" s="185"/>
      <c r="CI65" s="185" t="s">
        <v>740</v>
      </c>
      <c r="CJ65" s="98" t="s">
        <v>599</v>
      </c>
      <c r="CK65" s="84"/>
      <c r="CW65" s="153"/>
      <c r="CX65" s="153" t="s">
        <v>868</v>
      </c>
      <c r="CY65" s="96" t="s">
        <v>599</v>
      </c>
      <c r="CZ65" s="43" t="s">
        <v>990</v>
      </c>
      <c r="DB65" s="153"/>
      <c r="DC65" s="153" t="s">
        <v>1006</v>
      </c>
      <c r="DD65" s="96" t="s">
        <v>599</v>
      </c>
      <c r="DE65" s="43" t="s">
        <v>1007</v>
      </c>
      <c r="DG65" s="154"/>
      <c r="DH65" s="154" t="s">
        <v>742</v>
      </c>
      <c r="DI65" s="95" t="s">
        <v>599</v>
      </c>
      <c r="DJ65" s="63" t="s">
        <v>1026</v>
      </c>
      <c r="DL65" s="153"/>
      <c r="DM65" s="153" t="s">
        <v>742</v>
      </c>
      <c r="DN65" s="96" t="s">
        <v>599</v>
      </c>
      <c r="DO65" s="43" t="s">
        <v>1026</v>
      </c>
    </row>
    <row r="66" spans="46:119">
      <c r="AT66" s="153"/>
      <c r="AU66" s="153" t="s">
        <v>747</v>
      </c>
      <c r="AV66" s="96" t="s">
        <v>599</v>
      </c>
      <c r="AW66" s="51" t="s">
        <v>833</v>
      </c>
      <c r="BS66" s="153"/>
      <c r="BT66" s="153" t="s">
        <v>742</v>
      </c>
      <c r="BU66" s="96" t="s">
        <v>599</v>
      </c>
      <c r="BV66" s="41"/>
      <c r="BX66" s="153"/>
      <c r="BY66" s="153" t="s">
        <v>607</v>
      </c>
      <c r="BZ66" s="96" t="s">
        <v>599</v>
      </c>
      <c r="CA66" s="41"/>
      <c r="CH66" s="185"/>
      <c r="CI66" s="185" t="s">
        <v>832</v>
      </c>
      <c r="CJ66" s="98" t="s">
        <v>599</v>
      </c>
      <c r="CK66" s="85"/>
      <c r="CW66" s="153"/>
      <c r="CX66" s="153" t="s">
        <v>628</v>
      </c>
      <c r="CY66" s="96" t="s">
        <v>599</v>
      </c>
      <c r="CZ66" s="51" t="s">
        <v>991</v>
      </c>
      <c r="DB66" s="153"/>
      <c r="DC66" s="153" t="s">
        <v>959</v>
      </c>
      <c r="DD66" s="96" t="s">
        <v>599</v>
      </c>
      <c r="DE66" s="41"/>
      <c r="DG66" s="154"/>
      <c r="DH66" s="154" t="s">
        <v>629</v>
      </c>
      <c r="DI66" s="95" t="s">
        <v>599</v>
      </c>
      <c r="DJ66" s="62"/>
      <c r="DL66" s="153"/>
      <c r="DM66" s="153" t="s">
        <v>629</v>
      </c>
      <c r="DN66" s="96" t="s">
        <v>599</v>
      </c>
      <c r="DO66" s="41"/>
    </row>
    <row r="67" spans="46:119">
      <c r="AT67" s="153"/>
      <c r="AU67" s="153" t="s">
        <v>686</v>
      </c>
      <c r="AV67" s="96" t="s">
        <v>599</v>
      </c>
      <c r="AW67" s="42"/>
      <c r="BS67" s="153"/>
      <c r="BT67" s="153" t="s">
        <v>647</v>
      </c>
      <c r="BU67" s="96" t="s">
        <v>599</v>
      </c>
      <c r="BV67" s="42"/>
      <c r="BX67" s="153"/>
      <c r="BY67" s="153" t="s">
        <v>630</v>
      </c>
      <c r="BZ67" s="96" t="s">
        <v>599</v>
      </c>
      <c r="CA67" s="42"/>
      <c r="CH67" s="185"/>
      <c r="CI67" s="185" t="s">
        <v>741</v>
      </c>
      <c r="CJ67" s="98" t="s">
        <v>599</v>
      </c>
      <c r="CK67" s="84"/>
      <c r="CW67" s="153"/>
      <c r="CX67" s="153" t="s">
        <v>832</v>
      </c>
      <c r="CY67" s="96" t="s">
        <v>599</v>
      </c>
      <c r="CZ67" s="42"/>
      <c r="DB67" s="153"/>
      <c r="DC67" s="153" t="s">
        <v>626</v>
      </c>
      <c r="DD67" s="96" t="s">
        <v>599</v>
      </c>
      <c r="DE67" s="42"/>
      <c r="DG67" s="154"/>
      <c r="DH67" s="154" t="s">
        <v>607</v>
      </c>
      <c r="DI67" s="95" t="s">
        <v>599</v>
      </c>
      <c r="DJ67" s="61"/>
      <c r="DL67" s="153"/>
      <c r="DM67" s="153" t="s">
        <v>607</v>
      </c>
      <c r="DN67" s="96" t="s">
        <v>599</v>
      </c>
      <c r="DO67" s="42"/>
    </row>
    <row r="68" spans="46:119">
      <c r="AT68" s="153"/>
      <c r="AU68" s="153" t="s">
        <v>748</v>
      </c>
      <c r="AV68" s="96" t="s">
        <v>599</v>
      </c>
      <c r="AW68" s="45" t="s">
        <v>834</v>
      </c>
      <c r="BS68" s="153"/>
      <c r="BT68" s="153" t="s">
        <v>629</v>
      </c>
      <c r="BU68" s="96" t="s">
        <v>599</v>
      </c>
      <c r="BV68" s="41"/>
      <c r="BX68" s="153"/>
      <c r="BY68" s="153" t="s">
        <v>302</v>
      </c>
      <c r="BZ68" s="96" t="s">
        <v>599</v>
      </c>
      <c r="CA68" s="41"/>
      <c r="CH68" s="185"/>
      <c r="CI68" s="185" t="s">
        <v>266</v>
      </c>
      <c r="CJ68" s="98" t="s">
        <v>599</v>
      </c>
      <c r="CK68" s="85"/>
      <c r="CW68" s="153"/>
      <c r="CX68" s="153" t="s">
        <v>265</v>
      </c>
      <c r="CY68" s="96" t="s">
        <v>599</v>
      </c>
      <c r="CZ68" s="51" t="s">
        <v>973</v>
      </c>
      <c r="DB68" s="153"/>
      <c r="DC68" s="153" t="s">
        <v>606</v>
      </c>
      <c r="DD68" s="96" t="s">
        <v>599</v>
      </c>
      <c r="DE68" s="41"/>
      <c r="DG68" s="154"/>
      <c r="DH68" s="154" t="s">
        <v>946</v>
      </c>
      <c r="DI68" s="95" t="s">
        <v>599</v>
      </c>
      <c r="DJ68" s="62"/>
      <c r="DL68" s="153"/>
      <c r="DM68" s="153" t="s">
        <v>946</v>
      </c>
      <c r="DN68" s="96" t="s">
        <v>599</v>
      </c>
      <c r="DO68" s="41"/>
    </row>
    <row r="69" spans="46:119">
      <c r="AT69" s="153"/>
      <c r="AU69" s="153" t="s">
        <v>609</v>
      </c>
      <c r="AV69" s="96" t="s">
        <v>599</v>
      </c>
      <c r="AW69" s="42"/>
      <c r="BS69" s="153"/>
      <c r="BT69" s="153" t="s">
        <v>607</v>
      </c>
      <c r="BU69" s="96" t="s">
        <v>599</v>
      </c>
      <c r="BV69" s="42"/>
      <c r="BX69" s="153"/>
      <c r="BY69" s="153" t="s">
        <v>746</v>
      </c>
      <c r="BZ69" s="96" t="s">
        <v>599</v>
      </c>
      <c r="CA69" s="42"/>
      <c r="CH69" s="185"/>
      <c r="CI69" s="185" t="s">
        <v>660</v>
      </c>
      <c r="CJ69" s="98" t="s">
        <v>599</v>
      </c>
      <c r="CK69" s="84"/>
      <c r="CW69" s="153"/>
      <c r="CX69" s="153" t="s">
        <v>660</v>
      </c>
      <c r="CY69" s="96" t="s">
        <v>599</v>
      </c>
      <c r="CZ69" s="42"/>
      <c r="DB69" s="153"/>
      <c r="DC69" s="153" t="s">
        <v>656</v>
      </c>
      <c r="DD69" s="96" t="s">
        <v>599</v>
      </c>
      <c r="DE69" s="42"/>
      <c r="DG69" s="154"/>
      <c r="DH69" s="154" t="s">
        <v>765</v>
      </c>
      <c r="DI69" s="95" t="s">
        <v>599</v>
      </c>
      <c r="DJ69" s="61"/>
      <c r="DL69" s="153"/>
      <c r="DM69" s="153" t="s">
        <v>765</v>
      </c>
      <c r="DN69" s="96" t="s">
        <v>599</v>
      </c>
      <c r="DO69" s="42"/>
    </row>
    <row r="70" spans="46:119">
      <c r="AT70" s="153"/>
      <c r="AU70" s="153" t="s">
        <v>648</v>
      </c>
      <c r="AV70" s="96" t="s">
        <v>599</v>
      </c>
      <c r="AW70" s="41"/>
      <c r="BS70" s="153"/>
      <c r="BT70" s="153" t="s">
        <v>630</v>
      </c>
      <c r="BU70" s="96" t="s">
        <v>599</v>
      </c>
      <c r="BV70" s="41"/>
      <c r="BX70" s="153"/>
      <c r="BY70" s="153" t="s">
        <v>766</v>
      </c>
      <c r="BZ70" s="96" t="s">
        <v>599</v>
      </c>
      <c r="CA70" s="41"/>
      <c r="CH70" s="185"/>
      <c r="CI70" s="185" t="s">
        <v>742</v>
      </c>
      <c r="CJ70" s="98" t="s">
        <v>599</v>
      </c>
      <c r="CK70" s="85"/>
      <c r="CW70" s="153"/>
      <c r="CX70" s="153" t="s">
        <v>742</v>
      </c>
      <c r="CY70" s="96" t="s">
        <v>599</v>
      </c>
      <c r="CZ70" s="41"/>
      <c r="DB70" s="153"/>
      <c r="DC70" s="153" t="s">
        <v>739</v>
      </c>
      <c r="DD70" s="96" t="s">
        <v>599</v>
      </c>
      <c r="DE70" s="41"/>
      <c r="DG70" s="154"/>
      <c r="DH70" s="154" t="s">
        <v>302</v>
      </c>
      <c r="DI70" s="95" t="s">
        <v>599</v>
      </c>
      <c r="DJ70" s="62"/>
      <c r="DL70" s="153"/>
      <c r="DM70" s="153" t="s">
        <v>302</v>
      </c>
      <c r="DN70" s="96" t="s">
        <v>599</v>
      </c>
      <c r="DO70" s="41"/>
    </row>
    <row r="71" spans="46:119">
      <c r="AT71" s="153"/>
      <c r="AU71" s="153" t="s">
        <v>649</v>
      </c>
      <c r="AV71" s="96" t="s">
        <v>599</v>
      </c>
      <c r="AW71" s="42"/>
      <c r="BS71" s="153"/>
      <c r="BT71" s="153" t="s">
        <v>302</v>
      </c>
      <c r="BU71" s="96" t="s">
        <v>599</v>
      </c>
      <c r="BV71" s="42"/>
      <c r="BX71" s="153"/>
      <c r="BY71" s="153" t="s">
        <v>686</v>
      </c>
      <c r="BZ71" s="96" t="s">
        <v>599</v>
      </c>
      <c r="CA71" s="42"/>
      <c r="CH71" s="185"/>
      <c r="CI71" s="185" t="s">
        <v>647</v>
      </c>
      <c r="CJ71" s="98" t="s">
        <v>599</v>
      </c>
      <c r="CK71" s="84"/>
      <c r="CW71" s="153"/>
      <c r="CX71" s="153" t="s">
        <v>647</v>
      </c>
      <c r="CY71" s="96" t="s">
        <v>599</v>
      </c>
      <c r="CZ71" s="42"/>
      <c r="DB71" s="153"/>
      <c r="DC71" s="153" t="s">
        <v>740</v>
      </c>
      <c r="DD71" s="96" t="s">
        <v>599</v>
      </c>
      <c r="DE71" s="42"/>
      <c r="DG71" s="154"/>
      <c r="DH71" s="154" t="s">
        <v>746</v>
      </c>
      <c r="DI71" s="95" t="s">
        <v>599</v>
      </c>
      <c r="DJ71" s="61"/>
      <c r="DL71" s="153"/>
      <c r="DM71" s="153" t="s">
        <v>746</v>
      </c>
      <c r="DN71" s="96" t="s">
        <v>599</v>
      </c>
      <c r="DO71" s="42"/>
    </row>
    <row r="72" spans="46:119">
      <c r="AT72" s="153"/>
      <c r="AU72" s="153" t="s">
        <v>835</v>
      </c>
      <c r="AV72" s="96" t="s">
        <v>599</v>
      </c>
      <c r="AW72" s="41"/>
      <c r="BS72" s="153"/>
      <c r="BT72" s="153" t="s">
        <v>918</v>
      </c>
      <c r="BU72" s="96" t="s">
        <v>599</v>
      </c>
      <c r="BV72" s="51" t="s">
        <v>919</v>
      </c>
      <c r="BX72" s="153"/>
      <c r="BY72" s="153" t="s">
        <v>748</v>
      </c>
      <c r="BZ72" s="50" t="s">
        <v>602</v>
      </c>
      <c r="CA72" s="51" t="s">
        <v>933</v>
      </c>
      <c r="CH72" s="185"/>
      <c r="CI72" s="185" t="s">
        <v>629</v>
      </c>
      <c r="CJ72" s="98" t="s">
        <v>599</v>
      </c>
      <c r="CK72" s="85"/>
      <c r="CW72" s="153"/>
      <c r="CX72" s="153" t="s">
        <v>629</v>
      </c>
      <c r="CY72" s="96" t="s">
        <v>599</v>
      </c>
      <c r="CZ72" s="41"/>
      <c r="DB72" s="153"/>
      <c r="DC72" s="153" t="s">
        <v>741</v>
      </c>
      <c r="DD72" s="96" t="s">
        <v>599</v>
      </c>
      <c r="DE72" s="41"/>
      <c r="DG72" s="154"/>
      <c r="DH72" s="154" t="s">
        <v>920</v>
      </c>
      <c r="DI72" s="95" t="s">
        <v>599</v>
      </c>
      <c r="DJ72" s="62"/>
      <c r="DL72" s="153"/>
      <c r="DM72" s="153" t="s">
        <v>920</v>
      </c>
      <c r="DN72" s="96" t="s">
        <v>599</v>
      </c>
      <c r="DO72" s="41"/>
    </row>
    <row r="73" spans="46:119">
      <c r="AT73" s="153"/>
      <c r="AU73" s="153" t="s">
        <v>817</v>
      </c>
      <c r="AV73" s="96" t="s">
        <v>599</v>
      </c>
      <c r="AW73" s="42"/>
      <c r="BS73" s="153"/>
      <c r="BT73" s="153" t="s">
        <v>920</v>
      </c>
      <c r="BU73" s="96" t="s">
        <v>599</v>
      </c>
      <c r="BV73" s="42"/>
      <c r="BX73" s="153"/>
      <c r="BY73" s="153" t="s">
        <v>609</v>
      </c>
      <c r="BZ73" s="96" t="s">
        <v>599</v>
      </c>
      <c r="CA73" s="42"/>
      <c r="CH73" s="185"/>
      <c r="CI73" s="185" t="s">
        <v>607</v>
      </c>
      <c r="CJ73" s="98" t="s">
        <v>599</v>
      </c>
      <c r="CK73" s="84"/>
      <c r="CW73" s="153"/>
      <c r="CX73" s="153" t="s">
        <v>607</v>
      </c>
      <c r="CY73" s="96" t="s">
        <v>599</v>
      </c>
      <c r="CZ73" s="42"/>
      <c r="DB73" s="153"/>
      <c r="DC73" s="153" t="s">
        <v>266</v>
      </c>
      <c r="DD73" s="96" t="s">
        <v>599</v>
      </c>
      <c r="DE73" s="42"/>
      <c r="DG73" s="154"/>
      <c r="DH73" s="154" t="s">
        <v>747</v>
      </c>
      <c r="DI73" s="95" t="s">
        <v>599</v>
      </c>
      <c r="DJ73" s="61"/>
      <c r="DL73" s="153"/>
      <c r="DM73" s="153" t="s">
        <v>747</v>
      </c>
      <c r="DN73" s="96" t="s">
        <v>599</v>
      </c>
      <c r="DO73" s="42"/>
    </row>
    <row r="74" spans="46:119">
      <c r="AT74" s="153"/>
      <c r="AU74" s="153" t="s">
        <v>836</v>
      </c>
      <c r="AV74" s="96" t="s">
        <v>599</v>
      </c>
      <c r="AW74" s="51" t="s">
        <v>837</v>
      </c>
      <c r="BS74" s="153"/>
      <c r="BT74" s="153" t="s">
        <v>747</v>
      </c>
      <c r="BU74" s="96" t="s">
        <v>599</v>
      </c>
      <c r="BV74" s="41"/>
      <c r="BX74" s="153"/>
      <c r="BY74" s="153" t="s">
        <v>648</v>
      </c>
      <c r="BZ74" s="96" t="s">
        <v>599</v>
      </c>
      <c r="CA74" s="41"/>
      <c r="CH74" s="185"/>
      <c r="CI74" s="185" t="s">
        <v>946</v>
      </c>
      <c r="CJ74" s="98" t="s">
        <v>599</v>
      </c>
      <c r="CK74" s="85"/>
      <c r="CW74" s="153"/>
      <c r="CX74" s="153" t="s">
        <v>946</v>
      </c>
      <c r="CY74" s="96" t="s">
        <v>599</v>
      </c>
      <c r="CZ74" s="51" t="s">
        <v>992</v>
      </c>
      <c r="DB74" s="153"/>
      <c r="DC74" s="153" t="s">
        <v>660</v>
      </c>
      <c r="DD74" s="96" t="s">
        <v>599</v>
      </c>
      <c r="DE74" s="41"/>
      <c r="DG74" s="154"/>
      <c r="DH74" s="154" t="s">
        <v>766</v>
      </c>
      <c r="DI74" s="95" t="s">
        <v>599</v>
      </c>
      <c r="DJ74" s="62"/>
      <c r="DL74" s="153"/>
      <c r="DM74" s="153" t="s">
        <v>766</v>
      </c>
      <c r="DN74" s="96" t="s">
        <v>599</v>
      </c>
      <c r="DO74" s="41"/>
    </row>
    <row r="75" spans="46:119">
      <c r="BS75" s="153"/>
      <c r="BT75" s="153" t="s">
        <v>921</v>
      </c>
      <c r="BU75" s="96" t="s">
        <v>599</v>
      </c>
      <c r="BV75" s="42"/>
      <c r="BX75" s="153"/>
      <c r="BY75" s="153" t="s">
        <v>649</v>
      </c>
      <c r="BZ75" s="96" t="s">
        <v>599</v>
      </c>
      <c r="CA75" s="44"/>
      <c r="CH75" s="185"/>
      <c r="CI75" s="185" t="s">
        <v>960</v>
      </c>
      <c r="CJ75" s="98" t="s">
        <v>599</v>
      </c>
      <c r="CK75" s="84"/>
      <c r="CW75" s="153"/>
      <c r="CX75" s="153" t="s">
        <v>630</v>
      </c>
      <c r="CY75" s="96" t="s">
        <v>599</v>
      </c>
      <c r="CZ75" s="42"/>
      <c r="DB75" s="153"/>
      <c r="DC75" s="153" t="s">
        <v>742</v>
      </c>
      <c r="DD75" s="96" t="s">
        <v>599</v>
      </c>
      <c r="DE75" s="42"/>
      <c r="DG75" s="154"/>
      <c r="DH75" s="154" t="s">
        <v>686</v>
      </c>
      <c r="DI75" s="95" t="s">
        <v>599</v>
      </c>
      <c r="DJ75" s="61"/>
      <c r="DL75" s="153"/>
      <c r="DM75" s="153" t="s">
        <v>686</v>
      </c>
      <c r="DN75" s="96" t="s">
        <v>599</v>
      </c>
      <c r="DO75" s="42"/>
    </row>
    <row r="76" spans="46:119">
      <c r="BS76" s="153"/>
      <c r="BT76" s="153" t="s">
        <v>766</v>
      </c>
      <c r="BU76" s="96" t="s">
        <v>599</v>
      </c>
      <c r="BV76" s="41"/>
      <c r="BX76" s="153"/>
      <c r="BY76" s="153" t="s">
        <v>814</v>
      </c>
      <c r="BZ76" s="96" t="s">
        <v>599</v>
      </c>
      <c r="CA76" s="41"/>
      <c r="CH76" s="185"/>
      <c r="CI76" s="185" t="s">
        <v>630</v>
      </c>
      <c r="CJ76" s="98" t="s">
        <v>599</v>
      </c>
      <c r="CK76" s="85"/>
      <c r="CW76" s="153"/>
      <c r="CX76" s="153" t="s">
        <v>302</v>
      </c>
      <c r="CY76" s="96" t="s">
        <v>599</v>
      </c>
      <c r="CZ76" s="41"/>
      <c r="DB76" s="153"/>
      <c r="DC76" s="153" t="s">
        <v>647</v>
      </c>
      <c r="DD76" s="96" t="s">
        <v>599</v>
      </c>
      <c r="DE76" s="41"/>
      <c r="DG76" s="154"/>
      <c r="DH76" s="154" t="s">
        <v>901</v>
      </c>
      <c r="DI76" s="95" t="s">
        <v>599</v>
      </c>
      <c r="DJ76" s="62"/>
      <c r="DL76" s="153"/>
      <c r="DM76" s="153" t="s">
        <v>901</v>
      </c>
      <c r="DN76" s="96" t="s">
        <v>599</v>
      </c>
      <c r="DO76" s="41"/>
    </row>
    <row r="77" spans="46:119">
      <c r="BS77" s="153"/>
      <c r="BT77" s="153" t="s">
        <v>686</v>
      </c>
      <c r="BU77" s="96" t="s">
        <v>599</v>
      </c>
      <c r="BV77" s="42"/>
      <c r="CH77" s="185"/>
      <c r="CI77" s="185" t="s">
        <v>302</v>
      </c>
      <c r="CJ77" s="98" t="s">
        <v>599</v>
      </c>
      <c r="CK77" s="84"/>
      <c r="CW77" s="153"/>
      <c r="CX77" s="153" t="s">
        <v>918</v>
      </c>
      <c r="CY77" s="96" t="s">
        <v>599</v>
      </c>
      <c r="CZ77" s="42"/>
      <c r="DB77" s="153"/>
      <c r="DC77" s="153" t="s">
        <v>629</v>
      </c>
      <c r="DD77" s="96" t="s">
        <v>599</v>
      </c>
      <c r="DE77" s="42"/>
      <c r="DG77" s="154"/>
      <c r="DH77" s="154" t="s">
        <v>947</v>
      </c>
      <c r="DI77" s="77" t="s">
        <v>602</v>
      </c>
      <c r="DJ77" s="63" t="s">
        <v>1027</v>
      </c>
      <c r="DL77" s="153"/>
      <c r="DM77" s="153" t="s">
        <v>947</v>
      </c>
      <c r="DN77" s="50" t="s">
        <v>602</v>
      </c>
      <c r="DO77" s="43" t="s">
        <v>1027</v>
      </c>
    </row>
    <row r="78" spans="46:119">
      <c r="BS78" s="153"/>
      <c r="BT78" s="153" t="s">
        <v>609</v>
      </c>
      <c r="BU78" s="96" t="s">
        <v>599</v>
      </c>
      <c r="BV78" s="51" t="s">
        <v>922</v>
      </c>
      <c r="CH78" s="185"/>
      <c r="CI78" s="185" t="s">
        <v>918</v>
      </c>
      <c r="CJ78" s="98" t="s">
        <v>599</v>
      </c>
      <c r="CK78" s="85"/>
      <c r="CW78" s="153"/>
      <c r="CX78" s="153" t="s">
        <v>747</v>
      </c>
      <c r="CY78" s="96" t="s">
        <v>599</v>
      </c>
      <c r="CZ78" s="51" t="s">
        <v>993</v>
      </c>
      <c r="DB78" s="153"/>
      <c r="DC78" s="153" t="s">
        <v>607</v>
      </c>
      <c r="DD78" s="96" t="s">
        <v>599</v>
      </c>
      <c r="DE78" s="41"/>
      <c r="DG78" s="154"/>
      <c r="DH78" s="154" t="s">
        <v>748</v>
      </c>
      <c r="DI78" s="95" t="s">
        <v>599</v>
      </c>
      <c r="DJ78" s="62"/>
      <c r="DL78" s="153"/>
      <c r="DM78" s="153" t="s">
        <v>748</v>
      </c>
      <c r="DN78" s="96" t="s">
        <v>599</v>
      </c>
      <c r="DO78" s="41"/>
    </row>
    <row r="79" spans="46:119">
      <c r="BS79" s="153"/>
      <c r="BT79" s="153" t="s">
        <v>648</v>
      </c>
      <c r="BU79" s="96" t="s">
        <v>599</v>
      </c>
      <c r="BV79" s="42"/>
      <c r="CH79" s="185"/>
      <c r="CI79" s="185" t="s">
        <v>747</v>
      </c>
      <c r="CJ79" s="98" t="s">
        <v>599</v>
      </c>
      <c r="CK79" s="84"/>
      <c r="CW79" s="153"/>
      <c r="CX79" s="153" t="s">
        <v>686</v>
      </c>
      <c r="CY79" s="96" t="s">
        <v>599</v>
      </c>
      <c r="CZ79" s="42"/>
      <c r="DB79" s="153"/>
      <c r="DC79" s="153" t="s">
        <v>946</v>
      </c>
      <c r="DD79" s="96" t="s">
        <v>599</v>
      </c>
      <c r="DE79" s="42"/>
      <c r="DG79" s="154"/>
      <c r="DH79" s="154" t="s">
        <v>835</v>
      </c>
      <c r="DI79" s="95" t="s">
        <v>599</v>
      </c>
      <c r="DJ79" s="61"/>
      <c r="DL79" s="153"/>
      <c r="DM79" s="153" t="s">
        <v>835</v>
      </c>
      <c r="DN79" s="96" t="s">
        <v>599</v>
      </c>
      <c r="DO79" s="42"/>
    </row>
    <row r="80" spans="46:119">
      <c r="BS80" s="153"/>
      <c r="BT80" s="153" t="s">
        <v>649</v>
      </c>
      <c r="BU80" s="96" t="s">
        <v>599</v>
      </c>
      <c r="BV80" s="41"/>
      <c r="CH80" s="185"/>
      <c r="CI80" s="185" t="s">
        <v>766</v>
      </c>
      <c r="CJ80" s="98" t="s">
        <v>599</v>
      </c>
      <c r="CK80" s="85"/>
      <c r="CW80" s="153"/>
      <c r="CX80" s="153" t="s">
        <v>748</v>
      </c>
      <c r="CY80" s="96" t="s">
        <v>599</v>
      </c>
      <c r="CZ80" s="41"/>
      <c r="DB80" s="153"/>
      <c r="DC80" s="153" t="s">
        <v>630</v>
      </c>
      <c r="DD80" s="96" t="s">
        <v>599</v>
      </c>
      <c r="DE80" s="41"/>
      <c r="DG80" s="154"/>
      <c r="DH80" s="154" t="s">
        <v>663</v>
      </c>
      <c r="DI80" s="95" t="s">
        <v>599</v>
      </c>
      <c r="DJ80" s="62"/>
      <c r="DL80" s="153"/>
      <c r="DM80" s="153" t="s">
        <v>663</v>
      </c>
      <c r="DN80" s="96" t="s">
        <v>599</v>
      </c>
      <c r="DO80" s="44"/>
    </row>
    <row r="81" spans="71:119">
      <c r="BS81" s="153"/>
      <c r="BT81" s="153" t="s">
        <v>814</v>
      </c>
      <c r="BU81" s="50" t="s">
        <v>602</v>
      </c>
      <c r="BV81" s="43" t="s">
        <v>923</v>
      </c>
      <c r="CH81" s="185"/>
      <c r="CI81" s="185" t="s">
        <v>686</v>
      </c>
      <c r="CJ81" s="98" t="s">
        <v>599</v>
      </c>
      <c r="CK81" s="84"/>
      <c r="CW81" s="153"/>
      <c r="CX81" s="153" t="s">
        <v>609</v>
      </c>
      <c r="CY81" s="96" t="s">
        <v>599</v>
      </c>
      <c r="CZ81" s="42"/>
      <c r="DB81" s="153"/>
      <c r="DC81" s="153" t="s">
        <v>918</v>
      </c>
      <c r="DD81" s="96" t="s">
        <v>599</v>
      </c>
      <c r="DE81" s="42"/>
      <c r="DG81" s="154"/>
      <c r="DH81" s="154" t="s">
        <v>817</v>
      </c>
      <c r="DI81" s="95" t="s">
        <v>599</v>
      </c>
      <c r="DJ81" s="61"/>
      <c r="DL81" s="153"/>
      <c r="DM81" s="153" t="s">
        <v>817</v>
      </c>
      <c r="DN81" s="96" t="s">
        <v>599</v>
      </c>
      <c r="DO81" s="42"/>
    </row>
    <row r="82" spans="71:119">
      <c r="BS82" s="153"/>
      <c r="BT82" s="153" t="s">
        <v>835</v>
      </c>
      <c r="BU82" s="96" t="s">
        <v>599</v>
      </c>
      <c r="BV82" s="44"/>
      <c r="CH82" s="185"/>
      <c r="CI82" s="185" t="s">
        <v>947</v>
      </c>
      <c r="CJ82" s="98" t="s">
        <v>599</v>
      </c>
      <c r="CK82" s="85"/>
      <c r="CW82" s="153"/>
      <c r="CX82" s="153" t="s">
        <v>648</v>
      </c>
      <c r="CY82" s="96" t="s">
        <v>599</v>
      </c>
      <c r="CZ82" s="41"/>
      <c r="DB82" s="153"/>
      <c r="DC82" s="153" t="s">
        <v>920</v>
      </c>
      <c r="DD82" s="96" t="s">
        <v>599</v>
      </c>
      <c r="DE82" s="41"/>
      <c r="DG82" s="154"/>
      <c r="DH82" s="154" t="s">
        <v>767</v>
      </c>
      <c r="DI82" s="95" t="s">
        <v>599</v>
      </c>
      <c r="DJ82" s="60"/>
      <c r="DL82" s="153"/>
      <c r="DM82" s="153" t="s">
        <v>767</v>
      </c>
      <c r="DN82" s="96" t="s">
        <v>599</v>
      </c>
      <c r="DO82" s="41"/>
    </row>
    <row r="83" spans="71:119">
      <c r="BS83" s="153"/>
      <c r="BT83" s="153" t="s">
        <v>817</v>
      </c>
      <c r="BU83" s="96" t="s">
        <v>599</v>
      </c>
      <c r="BV83" s="41"/>
      <c r="CH83" s="185"/>
      <c r="CI83" s="185" t="s">
        <v>748</v>
      </c>
      <c r="CJ83" s="98" t="s">
        <v>599</v>
      </c>
      <c r="CK83" s="84"/>
      <c r="CW83" s="153"/>
      <c r="CX83" s="153" t="s">
        <v>835</v>
      </c>
      <c r="CY83" s="96" t="s">
        <v>599</v>
      </c>
      <c r="CZ83" s="44"/>
      <c r="DB83" s="153"/>
      <c r="DC83" s="153" t="s">
        <v>747</v>
      </c>
      <c r="DD83" s="96" t="s">
        <v>599</v>
      </c>
      <c r="DE83" s="42"/>
    </row>
    <row r="84" spans="71:119">
      <c r="CH84" s="185"/>
      <c r="CI84" s="185" t="s">
        <v>609</v>
      </c>
      <c r="CJ84" s="98" t="s">
        <v>599</v>
      </c>
      <c r="CK84" s="85"/>
      <c r="CW84" s="153"/>
      <c r="CX84" s="153" t="s">
        <v>817</v>
      </c>
      <c r="CY84" s="96" t="s">
        <v>599</v>
      </c>
      <c r="CZ84" s="41"/>
      <c r="DB84" s="153"/>
      <c r="DC84" s="153" t="s">
        <v>921</v>
      </c>
      <c r="DD84" s="96" t="s">
        <v>599</v>
      </c>
      <c r="DE84" s="41"/>
    </row>
    <row r="85" spans="71:119">
      <c r="CH85" s="185"/>
      <c r="CI85" s="185" t="s">
        <v>648</v>
      </c>
      <c r="CJ85" s="98" t="s">
        <v>599</v>
      </c>
      <c r="CK85" s="84"/>
      <c r="DB85" s="153"/>
      <c r="DC85" s="153" t="s">
        <v>766</v>
      </c>
      <c r="DD85" s="96" t="s">
        <v>599</v>
      </c>
      <c r="DE85" s="42"/>
    </row>
    <row r="86" spans="71:119">
      <c r="CH86" s="185"/>
      <c r="CI86" s="185" t="s">
        <v>649</v>
      </c>
      <c r="CJ86" s="98" t="s">
        <v>599</v>
      </c>
      <c r="CK86" s="85"/>
      <c r="DB86" s="153"/>
      <c r="DC86" s="153" t="s">
        <v>686</v>
      </c>
      <c r="DD86" s="96" t="s">
        <v>599</v>
      </c>
      <c r="DE86" s="41"/>
    </row>
    <row r="87" spans="71:119">
      <c r="CH87" s="185"/>
      <c r="CI87" s="185" t="s">
        <v>835</v>
      </c>
      <c r="CJ87" s="98" t="s">
        <v>599</v>
      </c>
      <c r="CK87" s="84"/>
      <c r="DB87" s="153"/>
      <c r="DC87" s="153" t="s">
        <v>901</v>
      </c>
      <c r="DD87" s="96" t="s">
        <v>599</v>
      </c>
      <c r="DE87" s="42"/>
    </row>
    <row r="88" spans="71:119">
      <c r="CH88" s="185"/>
      <c r="CI88" s="185" t="s">
        <v>663</v>
      </c>
      <c r="CJ88" s="98" t="s">
        <v>599</v>
      </c>
      <c r="CK88" s="85"/>
      <c r="DB88" s="153"/>
      <c r="DC88" s="153" t="s">
        <v>748</v>
      </c>
      <c r="DD88" s="96" t="s">
        <v>599</v>
      </c>
      <c r="DE88" s="41"/>
    </row>
    <row r="89" spans="71:119">
      <c r="CH89" s="185"/>
      <c r="CI89" s="185" t="s">
        <v>817</v>
      </c>
      <c r="CJ89" s="98" t="s">
        <v>599</v>
      </c>
      <c r="CK89" s="84"/>
      <c r="DB89" s="153"/>
      <c r="DC89" s="153" t="s">
        <v>609</v>
      </c>
      <c r="DD89" s="96" t="s">
        <v>599</v>
      </c>
      <c r="DE89" s="42"/>
    </row>
    <row r="90" spans="71:119">
      <c r="CH90" s="185"/>
      <c r="CI90" s="185" t="s">
        <v>836</v>
      </c>
      <c r="CJ90" s="98" t="s">
        <v>599</v>
      </c>
      <c r="CK90" s="85"/>
      <c r="DB90" s="153"/>
      <c r="DC90" s="153" t="s">
        <v>648</v>
      </c>
      <c r="DD90" s="96" t="s">
        <v>599</v>
      </c>
      <c r="DE90" s="41"/>
    </row>
    <row r="91" spans="71:119">
      <c r="CH91" s="185"/>
      <c r="CI91" s="185" t="s">
        <v>948</v>
      </c>
      <c r="CJ91" s="98" t="s">
        <v>599</v>
      </c>
      <c r="CK91" s="41"/>
      <c r="DB91" s="153"/>
      <c r="DC91" s="153" t="s">
        <v>649</v>
      </c>
      <c r="DD91" s="96" t="s">
        <v>599</v>
      </c>
      <c r="DE91" s="42"/>
    </row>
    <row r="92" spans="71:119">
      <c r="DB92" s="153"/>
      <c r="DC92" s="153" t="s">
        <v>814</v>
      </c>
      <c r="DD92" s="96" t="s">
        <v>599</v>
      </c>
      <c r="DE92" s="41"/>
    </row>
    <row r="93" spans="71:119">
      <c r="DB93" s="153"/>
      <c r="DC93" s="153" t="s">
        <v>835</v>
      </c>
      <c r="DD93" s="96" t="s">
        <v>599</v>
      </c>
      <c r="DE93" s="42"/>
    </row>
    <row r="94" spans="71:119">
      <c r="DB94" s="153"/>
      <c r="DC94" s="153" t="s">
        <v>663</v>
      </c>
      <c r="DD94" s="96" t="s">
        <v>599</v>
      </c>
      <c r="DE94" s="44"/>
    </row>
    <row r="95" spans="71:119">
      <c r="DB95" s="153"/>
      <c r="DC95" s="153" t="s">
        <v>817</v>
      </c>
      <c r="DD95" s="96" t="s">
        <v>599</v>
      </c>
      <c r="DE95" s="42"/>
    </row>
    <row r="96" spans="71:119">
      <c r="DB96" s="153"/>
      <c r="DC96" s="153" t="s">
        <v>948</v>
      </c>
      <c r="DD96" s="50" t="s">
        <v>602</v>
      </c>
      <c r="DE96" s="41"/>
    </row>
  </sheetData>
  <hyperlinks>
    <hyperlink ref="D5" r:id="rId1" display="https://www.world.tax/news/andorra-liechtenstein-tax-treaty-signed.php"/>
    <hyperlink ref="D7" r:id="rId2" display="https://www.world.tax/news/andorra-malta-tax-treaty-signed.php"/>
    <hyperlink ref="D10" r:id="rId3" display="https://www.world.tax/news/united-arab-emirates-andorra-tax-treaty-signed.php"/>
    <hyperlink ref="K13" r:id="rId4" display="https://www.world.tax/news/barbados-italy-tax-treaty-signed.php"/>
    <hyperlink ref="K22" r:id="rId5" display="https://www.world.tax/news/barbados-qatar-tax-treaty-signed.php"/>
    <hyperlink ref="K23" r:id="rId6" display="https://www.world.tax/news/barbados-san-marino-tax-treaty-signed.php"/>
    <hyperlink ref="K25" r:id="rId7" display="https://www.world.tax/news/barbados-singapore-tax-treaty-enters-into-force.php"/>
    <hyperlink ref="K26" r:id="rId8" display="https://www.world.tax/news/barbados-slovakia-tax-treaty-signed.php"/>
    <hyperlink ref="P4" r:id="rId9" display="https://www.world.tax/news/belize-united-arab-emirates-tax-treaty-signed.php"/>
    <hyperlink ref="AA6" r:id="rId10" display="https://www.world.tax/news/cyprus-bahrain-treaty-text-becomes-available.php"/>
    <hyperlink ref="AA17" r:id="rId11" display="https://www.world.tax/news/cyprus-ethiopia-tax-treaty-details-become-available.php"/>
    <hyperlink ref="AA20" r:id="rId12" display="https://www.world.tax/news/cyprus-georgia-tax-treaty-enters-into-force.php"/>
    <hyperlink ref="AA23" r:id="rId13" display="https://www.world.tax/news/cyprus-guernsey-tax-treaty-enters-into-force.php"/>
    <hyperlink ref="AA25" r:id="rId14" display="https://www.world.tax/news/cyprus-iceland-tax-treaty-enters-into-force.php"/>
    <hyperlink ref="AA26" r:id="rId15" display="https://www.world.tax/news/cyprus-india-new-tax-treaty-signed.php"/>
    <hyperlink ref="AA27" r:id="rId16" display="https://www.world.tax/news/cyprus-and-iran-to-sign-income-tax-treaty.php"/>
    <hyperlink ref="AA30" r:id="rId17" display="https://www.world.tax/news/cyprus-jersey-tax-treaty-details-become-available.php"/>
    <hyperlink ref="AA32" r:id="rId18" display="https://www.world.tax/news/cyprus-latvia-tax-treaty-enters-into-force.php"/>
    <hyperlink ref="AA34" r:id="rId19" display="https://www.world.tax/news/cyprus-lithuania-tax-treaty-enters-into-force.php"/>
    <hyperlink ref="AA39" r:id="rId20" display="https://www.world.tax/news/cyprus-norway-tax-treaty-enters-into-force.php"/>
    <hyperlink ref="AA51" r:id="rId21" display="https://www.world.tax/news/cyprus-south-africa-amending-protocol-enters-into-force.php"/>
    <hyperlink ref="AA52" r:id="rId22" display="https://www.world.tax/news/cyprus-spain-tax-treaty-enters-into-force.php"/>
    <hyperlink ref="AA54" r:id="rId23" display="https://www.world.tax/news/cyprus-switzerland-tax-treaty-enters-into-force.php"/>
    <hyperlink ref="AA57" r:id="rId24" display="https://www.world.tax/news/cyprus-ukraine-details-of-amending-protocol-become-available.php"/>
    <hyperlink ref="AF25" r:id="rId25" display="https://www.world.tax/news/ireland-egypt-tax-treaty-ratified-by-ireland.php"/>
    <hyperlink ref="AM3" r:id="rId26" display="https://www.world.tax/news/cyprus-guernsey-tax-treaty-enters-into-force.php"/>
    <hyperlink ref="AM7" r:id="rId27" display="https://www.world.tax/news/guernsey-luxembourg-tax-treaty-enters-into-force.php"/>
    <hyperlink ref="AM9" r:id="rId28" display="https://www.world.tax/news/guernsey-mauritius-tax-treaty-enters-into-force.php"/>
    <hyperlink ref="AM10" r:id="rId29" display="https://www.world.tax/news/guernsey-monaco-tax-treaty-enters-into-force.php"/>
    <hyperlink ref="AM12" r:id="rId30" display="https://www.world.tax/news/guernsey-seychelles-tax-treaty-enters-into-force.php"/>
    <hyperlink ref="AW11" r:id="rId31" display="https://www.world.tax/news/ireland-botswana-tax-treaty-enters-into-force.php"/>
    <hyperlink ref="AW20" r:id="rId32" display="https://www.world.tax/news/ireland-egypt-tax-treaty-ratified-by-ireland.php"/>
    <hyperlink ref="AW49" r:id="rId33" display="https://www.world.tax/news/ireland-pakistan-new-tax-treaty-signed.php"/>
    <hyperlink ref="AW66" r:id="rId34" display="https://www.world.tax/news/ireland-thailand-tax-treaty-enters-into-force.php"/>
    <hyperlink ref="AW68" r:id="rId35" display="https://www.world.tax/news/ireland-ukraine-tax-treaty-enters-into-force.php"/>
    <hyperlink ref="AW74" r:id="rId36" display="https://www.world.tax/news/ireland-zambia-new-tax-treaty-signed.php"/>
    <hyperlink ref="BB5" r:id="rId37" display="https://www.world.tax/news/isle-of-man-belgium-tax-treaty-signed.php"/>
    <hyperlink ref="BB9" r:id="rId38" display="https://www.world.tax/news/isle-of-man-luxembourg-tax-treaty-enters-into-force.php"/>
    <hyperlink ref="BG4" r:id="rId39" display="https://www.world.tax/news/cyprus-jersey-tax-treaty-details-become-available.php"/>
    <hyperlink ref="BG12" r:id="rId40" display="https://www.world.tax/news/jersey-rwanda-tax-treaty-enters-into-force.php"/>
    <hyperlink ref="BG13" r:id="rId41" display="https://www.world.tax/news/jersey-seychelles-tax-treaty-signed.php"/>
    <hyperlink ref="BL3" r:id="rId42" display="https://www.world.tax/news/andorra-liechtenstein-tax-treaty-signed.php"/>
    <hyperlink ref="BL5" r:id="rId43" display="https://www.world.tax/news/liechtenstein-czech-republic-tax-treaty-enters-into-force.php"/>
    <hyperlink ref="BL8" r:id="rId44" display="https://www.world.tax/news/liechtenstein-hungary-tax-treaty-enters-into-force.php"/>
    <hyperlink ref="BL10" r:id="rId45" display="https://www.world.tax/news/liechtenstein-malta-tax-treaty-enters-into-force.php"/>
    <hyperlink ref="BL12" r:id="rId46" display="https://www.world.tax/news/liechtenstein-singapore-tax-treaty-enters-into-force.php"/>
    <hyperlink ref="BL13" r:id="rId47" display="https://www.world.tax/news/liechtenstein-switzerland-new-tax-treaty-signed.php"/>
    <hyperlink ref="BL14" r:id="rId48" display="https://www.world.tax/news/liechtenstein-united-arab-emirates-tax-treaty-signed.php"/>
    <hyperlink ref="BV16" r:id="rId49" display="https://www.world.tax/news/luxembourg-croatia-tax-treaty-signed.php"/>
    <hyperlink ref="BV17" r:id="rId50" display="https://www.world.tax/news/luxembourg-czech-republic-tax-treaty-enters-into-force.php"/>
    <hyperlink ref="BV19" r:id="rId51" display="https://www.world.tax/news/luxembourg-estonia-tax-treaty-enters-into-force.php"/>
    <hyperlink ref="BV26" r:id="rId52" display="https://www.world.tax/news/guernsey-luxembourg-tax-treaty-enters-into-force.php"/>
    <hyperlink ref="BV28" r:id="rId53" display="https://www.world.tax/news/luxembourg-hungary-new-tax-treaty-signed.php"/>
    <hyperlink ref="BV33" r:id="rId54" display="https://www.world.tax/news/isle-of-man-luxembourg-tax-treaty-enters-into-force.php"/>
    <hyperlink ref="BV40" r:id="rId55" display="https://www.world.tax/news/luxembourg-laos-tax-treaty-enters-into-force.php"/>
    <hyperlink ref="BV60" r:id="rId56" display="https://www.world.tax/news/luxembourg-saudi-arabia-tax-treaty-enters-into-force.php"/>
    <hyperlink ref="BV61" r:id="rId57" display="https://www.world.tax/news/luxembourg-senegal-tax-treaty-signed.php"/>
    <hyperlink ref="BV62" r:id="rId58" display="https://www.world.tax/news/luxembourg-serbia-tax-treaty-signed.php"/>
    <hyperlink ref="BV64" r:id="rId59" display="https://www.world.tax/news/luxembourg-singapore-new-tax-treaty-enters-into-force.php"/>
    <hyperlink ref="BV72" r:id="rId60" display="https://www.world.tax/news/luxembourg-taiwan-tax-treaty-enters-into-force.php"/>
    <hyperlink ref="BV78" r:id="rId61" display="https://www.world.tax/news/luxembourg-united-arab-emirates-amending-protocol-published.php"/>
    <hyperlink ref="BV81" r:id="rId62" display="https://www.world.tax/news/luxembourg-uruguay-tax-treaty-signed.php"/>
    <hyperlink ref="CA4" r:id="rId63" display="https://www.world.tax/news/andorra-malta-tax-treaty-signed.php"/>
    <hyperlink ref="CA7" r:id="rId64" display="https://www.world.tax/news/malta-azerbaijan-tax-treaty-details-become-available.php"/>
    <hyperlink ref="CA15" r:id="rId65" display="https://www.world.tax/news/malta-curacao-tax-treaty-signed.php"/>
    <hyperlink ref="CA30" r:id="rId66" display="https://www.world.tax/news/malta-india-new-tax-treaty-enters-into-force.php"/>
    <hyperlink ref="CA41" r:id="rId67" display="https://www.world.tax/news/liechtenstein-malta-tax-treaty-enters-into-force.php"/>
    <hyperlink ref="CA45" r:id="rId68" display="https://www.world.tax/news/liechtenstein-malta-tax-treaty-enters-into-force.php"/>
    <hyperlink ref="CA46" r:id="rId69" display="https://www.world.tax/news/malta-mexico-tax-treaty-enters-into-force.php"/>
    <hyperlink ref="CA57" r:id="rId70" display="https://www.world.tax/news/malta-russia-tax-treaty-enters-into-force.php"/>
    <hyperlink ref="CA72" r:id="rId71" display="https://www.world.tax/news/malta-ukraine-tax-treaty-signed.php"/>
    <hyperlink ref="CK19" r:id="rId72" display="https://www.world.tax/news/netherlands-china-new-tax-treaty-enters-into-force.php"/>
    <hyperlink ref="CK25" r:id="rId73" display="https://www.world.tax/news/netherlands-ethiopia-tax-treaty-signed.php"/>
    <hyperlink ref="CK30" r:id="rId74" display="https://www.world.tax/news/netherlands-germany-new-tax-treaty-enters-into-force.php"/>
    <hyperlink ref="CK48" r:id="rId75" display="https://www.world.tax/news/netherlands-malawi-tax-treaty-signed.php"/>
    <hyperlink ref="CP4" r:id="rId76" display="https://www.world.tax/news/panama-czech-republic-tax-treaty-signed.php"/>
    <hyperlink ref="CP7" r:id="rId77" display="https://www.world.tax/news/panama-israel-tax-treaty-enters-into-force.php"/>
    <hyperlink ref="CU9" r:id="rId78" display="https://www.world.tax/news/guernsey-seychelles-tax-treaty-enters-into-force.php"/>
    <hyperlink ref="CU12" r:id="rId79" display="https://www.world.tax/news/jersey-seychelles-tax-treaty-signed.php"/>
    <hyperlink ref="CU13" r:id="rId80" display="https://www.world.tax/news/seychelles-kenya-tax-treaty-signed.php"/>
    <hyperlink ref="CU21" r:id="rId81" display="https://www.world.tax/news/seychelles-singapore-tax-treaty-enters-into-force.php"/>
    <hyperlink ref="CZ8" r:id="rId82" display="https://www.world.tax/news/barbados-singapore-tax-treaty-enters-into-force.php"/>
    <hyperlink ref="CZ13" r:id="rId83" display="https://www.world.tax/news/singapore-cambodia-tax-treaty-signed.php"/>
    <hyperlink ref="CZ19" r:id="rId84" display="https://www.world.tax/news/singapore-ecuador-tax-treaty-enters-into-force.php"/>
    <hyperlink ref="CZ39" r:id="rId85" display="https://www.world.tax/news/singapore-laos-tax-treaty-signed.php"/>
    <hyperlink ref="CZ42" r:id="rId86" display="https://www.world.tax/news/liechtenstein-singapore-tax-treaty-enters-into-force.php"/>
    <hyperlink ref="CZ44" r:id="rId87" display="https://www.world.tax/news/luxembourg-singapore-new-tax-treaty-enters-into-force.php"/>
    <hyperlink ref="CZ50" r:id="rId88" display="https://www.world.tax/news/singapore-morocco-tax-treaty-enters-into-force.php"/>
    <hyperlink ref="CZ60" r:id="rId89" display="https://www.world.tax/news/singapore-poland-tax-treaty-signed.php"/>
    <hyperlink ref="CZ65" r:id="rId90" display="https://www.world.tax/news/singapore-rwanda-tax-treaty-enters-into-force.php"/>
    <hyperlink ref="CZ66" r:id="rId91" display="https://www.world.tax/news/singapore-san-marino-tax-treaty-enters-into-force.php"/>
    <hyperlink ref="CZ68" r:id="rId92" display="https://www.world.tax/news/seychelles-singapore-tax-treaty-enters-into-force.php"/>
    <hyperlink ref="CZ74" r:id="rId93" display="https://www.world.tax/news/singapore-sri-lanka-tax-treaty-signed.php"/>
    <hyperlink ref="CZ78" r:id="rId94" display="https://www.world.tax/news/singapore-thailand-new-tax-treaty-signed.php"/>
    <hyperlink ref="DE5" r:id="rId95" display="https://www.world.tax/news/switzerland-argentina-new-tax-treaty-enters-into-force.php"/>
    <hyperlink ref="DE7" r:id="rId96" display="https://www.world.tax/news/switzerland-australia-new-tax-treaty-signed.php"/>
    <hyperlink ref="DE17" r:id="rId97" display="https://www.world.tax/news/switzerland-china-new-tax-treaty-enters-into-force.php"/>
    <hyperlink ref="DE21" r:id="rId98" display="https://www.world.tax/news/cyprus-switzerland-tax-treaty-enters-into-force.php"/>
    <hyperlink ref="DE26" r:id="rId99" display="https://www.world.tax/news/switzerland-estonia-amending-protocol-signed.php"/>
    <hyperlink ref="DE35" r:id="rId100" display="https://www.world.tax/news/switzerland-hungary-new-tax-treaty-enters-into-force.php"/>
    <hyperlink ref="DE36" r:id="rId101" display="https://www.world.tax/news/switzerland-iceland-new-tax-treaty-signed.php"/>
    <hyperlink ref="DE50" r:id="rId102" display="https://www.world.tax/news/liechtenstein-switzerland-new-tax-treaty-signed.php"/>
    <hyperlink ref="DE63" r:id="rId103" display="https://www.world.tax/news/switzerland-oman-tax-treaty-signed.php"/>
    <hyperlink ref="DE65" r:id="rId104" display="https://www.world.tax/news/switzerland-peru-tax-treaty-enters-into-force.php"/>
    <hyperlink ref="DJ3" r:id="rId105" display="https://www.world.tax/news/united-arab-emirates-albania-tax-treaty-signed.php"/>
    <hyperlink ref="DJ5" r:id="rId106" display="https://www.world.tax/news/united-arab-emirates-andorra-tax-treaty-signed.php"/>
    <hyperlink ref="DJ12" r:id="rId107" display="https://www.world.tax/news/belize-united-arab-emirates-tax-treaty-signed.php"/>
    <hyperlink ref="DJ21" r:id="rId108" display="https://www.world.tax/news/united-arab-emirates-ethiopia-tax-treaty-signed.php"/>
    <hyperlink ref="DJ22" r:id="rId109" display="https://www.world.tax/news/united-arab-emirates-fyrom-tax-treaty-signed.php"/>
    <hyperlink ref="DJ30" r:id="rId110" display="https://www.world.tax/news/hungary-united-arab-emirates-tax-treaty-enters-into-force.php"/>
    <hyperlink ref="DJ35" r:id="rId111" display="https://www.world.tax/news/united-arab-emirates-japan-tax-treaty-signed.php"/>
    <hyperlink ref="DJ38" r:id="rId112" display="https://www.world.tax/news/united-arab-emirates-kosovo-tax-treaty-signed.php"/>
    <hyperlink ref="DJ42" r:id="rId113" display="https://www.world.tax/news/liechtenstein-united-arab-emirates-tax-treaty-signed.php"/>
    <hyperlink ref="DJ44" r:id="rId114" display="https://www.world.tax/news/luxembourg-united-arab-emirates-amending-protocol-published.php"/>
    <hyperlink ref="DJ47" r:id="rId115" display="https://www.world.tax/news/united-arab-emirates-mauritania-tax-treaty-signed.php"/>
    <hyperlink ref="DJ49" r:id="rId116" display="https://www.world.tax/news/united-arab-emirates-mexico-tax-treaty-enters-into-force.php"/>
    <hyperlink ref="DJ59" r:id="rId117" display="https://www.world.tax/news/united-arab-emirates-romania-new-tax-treaty-signed.php"/>
    <hyperlink ref="DJ60" r:id="rId118" display="https://www.world.tax/news/united-arab-emirates-senegal-tax-treaty-signed.php"/>
    <hyperlink ref="DJ61" r:id="rId119" display="https://www.world.tax/news/united-arab-emirates-serbia-tax-treaty-signed.php"/>
    <hyperlink ref="DJ65" r:id="rId120" display="https://www.world.tax/news/united-arab-emirates-slovenia-tax-treaty-enters-into-force.php"/>
    <hyperlink ref="DJ77" r:id="rId121" display="https://www.world.tax/news/united-arab-emirates-uganda-tax-treaty-signed.php"/>
    <hyperlink ref="DO3" r:id="rId122" display="https://www.world.tax/news/united-arab-emirates-albania-tax-treaty-signed.php"/>
    <hyperlink ref="DO5" r:id="rId123" display="https://www.world.tax/news/united-arab-emirates-andorra-tax-treaty-signed.php"/>
    <hyperlink ref="DO12" r:id="rId124" display="https://www.world.tax/news/belize-united-arab-emirates-tax-treaty-signed.php"/>
    <hyperlink ref="DO21" r:id="rId125" display="https://www.world.tax/news/united-arab-emirates-ethiopia-tax-treaty-signed.php"/>
    <hyperlink ref="DO22" r:id="rId126" display="https://www.world.tax/news/united-arab-emirates-fyrom-tax-treaty-signed.php"/>
    <hyperlink ref="DO30" r:id="rId127" display="https://www.world.tax/news/hungary-united-arab-emirates-tax-treaty-enters-into-force.php"/>
    <hyperlink ref="DO35" r:id="rId128" display="https://www.world.tax/news/united-arab-emirates-japan-tax-treaty-signed.php"/>
    <hyperlink ref="DO38" r:id="rId129" display="https://www.world.tax/news/united-arab-emirates-kosovo-tax-treaty-signed.php"/>
    <hyperlink ref="DO42" r:id="rId130" display="https://www.world.tax/news/liechtenstein-united-arab-emirates-tax-treaty-signed.php"/>
    <hyperlink ref="DO44" r:id="rId131" display="https://www.world.tax/news/luxembourg-united-arab-emirates-amending-protocol-published.php"/>
    <hyperlink ref="DO47" r:id="rId132" display="https://www.world.tax/news/united-arab-emirates-mauritania-tax-treaty-signed.php"/>
    <hyperlink ref="DO49" r:id="rId133" display="https://www.world.tax/news/united-arab-emirates-mexico-tax-treaty-enters-into-force.php"/>
    <hyperlink ref="DO59" r:id="rId134" display="https://www.world.tax/news/united-arab-emirates-romania-new-tax-treaty-signed.php"/>
    <hyperlink ref="DO60" r:id="rId135" display="https://www.world.tax/news/united-arab-emirates-senegal-tax-treaty-signed.php"/>
    <hyperlink ref="DO61" r:id="rId136" display="https://www.world.tax/news/united-arab-emirates-serbia-tax-treaty-signed.php"/>
    <hyperlink ref="DO65" r:id="rId137" display="https://www.world.tax/news/united-arab-emirates-slovenia-tax-treaty-enters-into-force.php"/>
    <hyperlink ref="DO77" r:id="rId138" display="https://www.world.tax/news/united-arab-emirates-uganda-tax-treaty-signed.php"/>
    <hyperlink ref="CF37" r:id="rId139" display="https://www.world.tax/news/mauritius-south-africa-new-tax-treaty-signed.php"/>
    <hyperlink ref="CF23" r:id="rId140" display="https://www.world.tax/news/guernsey-mauritius-tax-treaty-enters-into-force.php"/>
    <hyperlink ref="CF14" r:id="rId141" display="https://www.world.tax/news/guernsey-mauritius-tax-treaty-enters-into-force.php"/>
    <hyperlink ref="BQ11" r:id="rId142" display="https://www.world.tax/news/cyprus-lithuania-tax-treaty-enters-into-force.php"/>
    <hyperlink ref="AR14" r:id="rId143" display="https://www.world.tax/news/hong-kong-italy-tax-treaty-enters-into-force.php"/>
    <hyperlink ref="AR27" r:id="rId144" display="https://www.world.tax/news/hong-kong-romania-tax-treaty-signed.php"/>
    <hyperlink ref="AR28" r:id="rId145" display="https://www.world.tax/news/hong-kong-russia-tax-treaty-enters-into-force.php"/>
    <hyperlink ref="AR29" r:id="rId146" display="https://www.world.tax/news/hong-kong-south-africa-tax-treaty-enters-into-force.php"/>
    <hyperlink ref="AR30" r:id="rId147" display="https://www.world.tax/news/hong-kong-south-korea-tax-treaty-signed.php"/>
  </hyperlinks>
  <pageMargins left="0.7" right="0.7" top="0.75" bottom="0.75" header="0.3" footer="0.3"/>
  <pageSetup paperSize="9" orientation="portrait" r:id="rId148"/>
  <drawing r:id="rId14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DS62"/>
  <sheetViews>
    <sheetView topLeftCell="AM1" zoomScale="80" zoomScaleNormal="80" workbookViewId="0">
      <pane ySplit="720" activePane="bottomLeft"/>
      <selection activeCell="BN1" sqref="BN1:BN1048576"/>
      <selection pane="bottomLeft" activeCell="B11" sqref="A11:B11"/>
    </sheetView>
  </sheetViews>
  <sheetFormatPr baseColWidth="10" defaultColWidth="19.28515625" defaultRowHeight="15"/>
  <cols>
    <col min="1" max="1" width="38.28515625" bestFit="1" customWidth="1"/>
    <col min="2" max="2" width="12.7109375" bestFit="1" customWidth="1"/>
    <col min="3" max="3" width="7.28515625" bestFit="1" customWidth="1"/>
    <col min="4" max="4" width="44.7109375" bestFit="1" customWidth="1"/>
    <col min="5" max="5" width="7.140625" customWidth="1"/>
    <col min="6" max="6" width="39.140625" bestFit="1" customWidth="1"/>
    <col min="10" max="10" width="3.7109375" customWidth="1"/>
    <col min="11" max="11" width="39.42578125" bestFit="1" customWidth="1"/>
    <col min="12" max="12" width="11.7109375" bestFit="1" customWidth="1"/>
    <col min="13" max="13" width="7.140625" bestFit="1" customWidth="1"/>
    <col min="14" max="14" width="17.85546875" bestFit="1" customWidth="1"/>
    <col min="15" max="15" width="4.85546875" customWidth="1"/>
    <col min="16" max="16" width="36.28515625" bestFit="1" customWidth="1"/>
    <col min="19" max="19" width="42.85546875" bestFit="1" customWidth="1"/>
    <col min="20" max="20" width="3.42578125" customWidth="1"/>
    <col min="21" max="21" width="38.85546875" bestFit="1" customWidth="1"/>
    <col min="22" max="22" width="13.42578125" bestFit="1" customWidth="1"/>
    <col min="23" max="23" width="7.28515625" bestFit="1" customWidth="1"/>
    <col min="24" max="24" width="45.5703125" bestFit="1" customWidth="1"/>
    <col min="25" max="25" width="4.7109375" customWidth="1"/>
    <col min="26" max="26" width="48.85546875" bestFit="1" customWidth="1"/>
    <col min="27" max="27" width="17.140625" bestFit="1" customWidth="1"/>
    <col min="28" max="28" width="7.28515625" bestFit="1" customWidth="1"/>
    <col min="29" max="29" width="40.42578125" bestFit="1" customWidth="1"/>
    <col min="30" max="30" width="4" customWidth="1"/>
    <col min="31" max="31" width="44.5703125" bestFit="1" customWidth="1"/>
    <col min="32" max="32" width="13.42578125" bestFit="1" customWidth="1"/>
    <col min="33" max="33" width="7.28515625" bestFit="1" customWidth="1"/>
    <col min="34" max="34" width="50.7109375" bestFit="1" customWidth="1"/>
    <col min="35" max="35" width="4.85546875" customWidth="1"/>
    <col min="36" max="36" width="56" bestFit="1" customWidth="1"/>
    <col min="37" max="37" width="5.140625" customWidth="1"/>
    <col min="38" max="38" width="54.7109375" bestFit="1" customWidth="1"/>
    <col min="39" max="39" width="7" customWidth="1"/>
    <col min="40" max="40" width="39.140625" bestFit="1" customWidth="1"/>
    <col min="41" max="41" width="13.42578125" bestFit="1" customWidth="1"/>
    <col min="42" max="42" width="7.28515625" bestFit="1" customWidth="1"/>
    <col min="43" max="43" width="43.7109375" bestFit="1" customWidth="1"/>
    <col min="44" max="44" width="5.5703125" customWidth="1"/>
    <col min="45" max="45" width="40" bestFit="1" customWidth="1"/>
    <col min="46" max="46" width="20.85546875" bestFit="1" customWidth="1"/>
    <col min="47" max="47" width="7.28515625" bestFit="1" customWidth="1"/>
    <col min="48" max="48" width="51.28515625" bestFit="1" customWidth="1"/>
    <col min="49" max="49" width="5.5703125" customWidth="1"/>
    <col min="50" max="50" width="40.140625" bestFit="1" customWidth="1"/>
    <col min="51" max="51" width="11.7109375" bestFit="1" customWidth="1"/>
    <col min="52" max="52" width="7.28515625" bestFit="1" customWidth="1"/>
    <col min="53" max="53" width="48.28515625" bestFit="1" customWidth="1"/>
    <col min="54" max="54" width="3.7109375" customWidth="1"/>
    <col min="55" max="55" width="37.5703125" bestFit="1" customWidth="1"/>
    <col min="56" max="56" width="27.42578125" bestFit="1" customWidth="1"/>
    <col min="57" max="57" width="7.28515625" bestFit="1" customWidth="1"/>
    <col min="58" max="58" width="48.5703125" bestFit="1" customWidth="1"/>
    <col min="59" max="59" width="3.85546875" customWidth="1"/>
    <col min="60" max="60" width="40.7109375" bestFit="1" customWidth="1"/>
    <col min="63" max="63" width="50.7109375" bestFit="1" customWidth="1"/>
    <col min="65" max="65" width="36.42578125" bestFit="1" customWidth="1"/>
    <col min="66" max="66" width="13.42578125" bestFit="1" customWidth="1"/>
    <col min="67" max="67" width="7.28515625" bestFit="1" customWidth="1"/>
    <col min="68" max="68" width="43.7109375" bestFit="1" customWidth="1"/>
    <col min="70" max="70" width="42.28515625" bestFit="1" customWidth="1"/>
    <col min="73" max="73" width="54.85546875" bestFit="1" customWidth="1"/>
    <col min="75" max="75" width="39.28515625" bestFit="1" customWidth="1"/>
    <col min="76" max="76" width="10" bestFit="1" customWidth="1"/>
    <col min="77" max="77" width="7.28515625" bestFit="1" customWidth="1"/>
    <col min="78" max="78" width="42.42578125" bestFit="1" customWidth="1"/>
    <col min="80" max="80" width="41.28515625" bestFit="1" customWidth="1"/>
    <col min="81" max="81" width="7.42578125" bestFit="1" customWidth="1"/>
    <col min="82" max="82" width="7.140625" bestFit="1" customWidth="1"/>
    <col min="83" max="83" width="17.85546875" bestFit="1" customWidth="1"/>
    <col min="85" max="85" width="36.42578125" bestFit="1" customWidth="1"/>
    <col min="86" max="86" width="13.5703125" bestFit="1" customWidth="1"/>
    <col min="87" max="87" width="7.28515625" bestFit="1" customWidth="1"/>
    <col min="88" max="88" width="35.85546875" bestFit="1" customWidth="1"/>
    <col min="90" max="90" width="39.7109375" bestFit="1" customWidth="1"/>
    <col min="91" max="91" width="11.7109375" bestFit="1" customWidth="1"/>
    <col min="92" max="92" width="7.28515625" bestFit="1" customWidth="1"/>
    <col min="93" max="93" width="47.140625" bestFit="1" customWidth="1"/>
    <col min="95" max="95" width="38.28515625" bestFit="1" customWidth="1"/>
    <col min="96" max="96" width="11.7109375" bestFit="1" customWidth="1"/>
    <col min="97" max="97" width="7.28515625" bestFit="1" customWidth="1"/>
    <col min="98" max="98" width="24" bestFit="1" customWidth="1"/>
    <col min="100" max="100" width="40" bestFit="1" customWidth="1"/>
    <col min="101" max="101" width="13.5703125" bestFit="1" customWidth="1"/>
    <col min="102" max="102" width="7.28515625" bestFit="1" customWidth="1"/>
    <col min="103" max="103" width="46.7109375" bestFit="1" customWidth="1"/>
    <col min="105" max="105" width="39.7109375" bestFit="1" customWidth="1"/>
    <col min="110" max="110" width="41" bestFit="1" customWidth="1"/>
    <col min="111" max="111" width="10.140625" bestFit="1" customWidth="1"/>
    <col min="112" max="112" width="7.28515625" bestFit="1" customWidth="1"/>
    <col min="113" max="113" width="47.28515625" bestFit="1" customWidth="1"/>
    <col min="115" max="115" width="41" bestFit="1" customWidth="1"/>
    <col min="116" max="116" width="8" bestFit="1" customWidth="1"/>
    <col min="117" max="117" width="7.28515625" bestFit="1" customWidth="1"/>
    <col min="118" max="118" width="35.7109375" bestFit="1" customWidth="1"/>
    <col min="120" max="120" width="39.28515625" bestFit="1" customWidth="1"/>
    <col min="121" max="121" width="8" bestFit="1" customWidth="1"/>
    <col min="122" max="122" width="7.28515625" bestFit="1" customWidth="1"/>
    <col min="123" max="123" width="35.7109375" bestFit="1" customWidth="1"/>
  </cols>
  <sheetData>
    <row r="1" spans="1:123">
      <c r="A1" s="46" t="s">
        <v>611</v>
      </c>
      <c r="B1" s="47"/>
      <c r="C1" s="47"/>
      <c r="D1" s="47"/>
      <c r="F1" s="47" t="s">
        <v>634</v>
      </c>
      <c r="G1" s="47"/>
      <c r="H1" s="47"/>
      <c r="I1" s="47"/>
      <c r="K1" s="46" t="s">
        <v>664</v>
      </c>
      <c r="L1" s="47"/>
      <c r="M1" s="47"/>
      <c r="N1" s="47"/>
      <c r="P1" s="47" t="s">
        <v>667</v>
      </c>
      <c r="Q1" s="65"/>
      <c r="R1" s="65"/>
      <c r="S1" s="65"/>
      <c r="U1" s="46" t="s">
        <v>678</v>
      </c>
      <c r="V1" s="65"/>
      <c r="W1" s="65"/>
      <c r="X1" s="65"/>
      <c r="Z1" s="46" t="s">
        <v>690</v>
      </c>
      <c r="AA1" s="47"/>
      <c r="AB1" s="47"/>
      <c r="AC1" s="47"/>
      <c r="AE1" s="72" t="s">
        <v>701</v>
      </c>
      <c r="AF1" s="72"/>
      <c r="AG1" s="72"/>
      <c r="AH1" s="72"/>
      <c r="AJ1" s="46" t="s">
        <v>750</v>
      </c>
      <c r="AL1" s="46" t="s">
        <v>768</v>
      </c>
      <c r="AN1" s="46" t="s">
        <v>772</v>
      </c>
      <c r="AO1" s="47"/>
      <c r="AP1" s="47"/>
      <c r="AQ1" s="47"/>
      <c r="AS1" s="46" t="s">
        <v>1286</v>
      </c>
      <c r="AT1" s="47"/>
      <c r="AU1" s="47"/>
      <c r="AV1" s="47"/>
      <c r="AX1" s="46" t="s">
        <v>818</v>
      </c>
      <c r="AY1" s="47"/>
      <c r="AZ1" s="47"/>
      <c r="BA1" s="47"/>
      <c r="BC1" s="46" t="s">
        <v>838</v>
      </c>
      <c r="BD1" s="47"/>
      <c r="BE1" s="47"/>
      <c r="BF1" s="47"/>
      <c r="BH1" s="46" t="s">
        <v>859</v>
      </c>
      <c r="BI1" s="47"/>
      <c r="BJ1" s="47"/>
      <c r="BK1" s="47"/>
      <c r="BM1" s="46" t="s">
        <v>871</v>
      </c>
      <c r="BN1" s="47"/>
      <c r="BO1" s="47"/>
      <c r="BP1" s="47"/>
      <c r="BR1" s="46" t="s">
        <v>890</v>
      </c>
      <c r="BS1" s="47"/>
      <c r="BT1" s="47"/>
      <c r="BU1" s="47"/>
      <c r="BW1" s="46" t="s">
        <v>902</v>
      </c>
      <c r="BX1" s="47"/>
      <c r="BY1" s="47"/>
      <c r="BZ1" s="47"/>
      <c r="CB1" s="47" t="s">
        <v>924</v>
      </c>
      <c r="CC1" s="47"/>
      <c r="CD1" s="47"/>
      <c r="CE1" s="47"/>
      <c r="CG1" s="46" t="s">
        <v>934</v>
      </c>
      <c r="CH1" s="47"/>
      <c r="CI1" s="47"/>
      <c r="CJ1" s="47"/>
      <c r="CL1" s="46" t="s">
        <v>949</v>
      </c>
      <c r="CM1" s="47"/>
      <c r="CN1" s="47"/>
      <c r="CO1" s="47"/>
      <c r="CQ1" s="46" t="s">
        <v>966</v>
      </c>
      <c r="CR1" s="47"/>
      <c r="CS1" s="47"/>
      <c r="CT1" s="47"/>
      <c r="CV1" s="46" t="s">
        <v>974</v>
      </c>
      <c r="CW1" s="47"/>
      <c r="CX1" s="47"/>
      <c r="CY1" s="47"/>
      <c r="DA1" s="47" t="s">
        <v>994</v>
      </c>
      <c r="DB1" s="47"/>
      <c r="DC1" s="47"/>
      <c r="DD1" s="47"/>
      <c r="DF1" s="46" t="s">
        <v>1008</v>
      </c>
      <c r="DG1" s="47"/>
      <c r="DH1" s="47"/>
      <c r="DI1" s="47"/>
      <c r="DK1" s="46" t="s">
        <v>1028</v>
      </c>
      <c r="DL1" s="47"/>
      <c r="DM1" s="47"/>
      <c r="DN1" s="47"/>
      <c r="DP1" s="46" t="s">
        <v>1033</v>
      </c>
      <c r="DQ1" s="65"/>
      <c r="DR1" s="65"/>
      <c r="DS1" s="65"/>
    </row>
    <row r="2" spans="1:123">
      <c r="A2" s="48"/>
      <c r="B2" s="48" t="s">
        <v>594</v>
      </c>
      <c r="C2" s="48" t="s">
        <v>596</v>
      </c>
      <c r="D2" s="48" t="s">
        <v>597</v>
      </c>
      <c r="F2" s="57"/>
      <c r="G2" s="57" t="s">
        <v>594</v>
      </c>
      <c r="H2" s="57" t="s">
        <v>596</v>
      </c>
      <c r="I2" s="48" t="s">
        <v>597</v>
      </c>
      <c r="K2" s="48"/>
      <c r="L2" s="48" t="s">
        <v>594</v>
      </c>
      <c r="M2" s="48" t="s">
        <v>596</v>
      </c>
      <c r="N2" s="48" t="s">
        <v>597</v>
      </c>
      <c r="P2" s="65"/>
      <c r="Q2" s="65"/>
      <c r="R2" s="65"/>
      <c r="S2" s="65"/>
      <c r="U2" s="66"/>
      <c r="V2" s="66" t="s">
        <v>594</v>
      </c>
      <c r="W2" s="66" t="s">
        <v>596</v>
      </c>
      <c r="X2" s="66" t="s">
        <v>597</v>
      </c>
      <c r="Z2" s="48"/>
      <c r="AA2" s="48" t="s">
        <v>594</v>
      </c>
      <c r="AB2" s="48" t="s">
        <v>596</v>
      </c>
      <c r="AC2" s="48" t="s">
        <v>597</v>
      </c>
      <c r="AE2" s="78"/>
      <c r="AF2" s="78" t="s">
        <v>594</v>
      </c>
      <c r="AG2" s="78" t="s">
        <v>596</v>
      </c>
      <c r="AH2" s="78" t="s">
        <v>597</v>
      </c>
      <c r="AJ2" s="46" t="s">
        <v>751</v>
      </c>
      <c r="AL2" s="46" t="s">
        <v>769</v>
      </c>
      <c r="AN2" s="48"/>
      <c r="AO2" s="48" t="s">
        <v>594</v>
      </c>
      <c r="AP2" s="48" t="s">
        <v>596</v>
      </c>
      <c r="AQ2" s="48" t="s">
        <v>597</v>
      </c>
      <c r="AS2" s="48"/>
      <c r="AT2" s="48" t="s">
        <v>594</v>
      </c>
      <c r="AU2" s="48" t="s">
        <v>596</v>
      </c>
      <c r="AV2" s="48" t="s">
        <v>597</v>
      </c>
      <c r="AX2" s="48"/>
      <c r="AY2" s="48" t="s">
        <v>594</v>
      </c>
      <c r="AZ2" s="48" t="s">
        <v>596</v>
      </c>
      <c r="BA2" s="48" t="s">
        <v>597</v>
      </c>
      <c r="BC2" s="48"/>
      <c r="BD2" s="48" t="s">
        <v>594</v>
      </c>
      <c r="BE2" s="48" t="s">
        <v>596</v>
      </c>
      <c r="BF2" s="48" t="s">
        <v>597</v>
      </c>
      <c r="BH2" s="48"/>
      <c r="BI2" s="48" t="s">
        <v>594</v>
      </c>
      <c r="BJ2" s="48" t="s">
        <v>596</v>
      </c>
      <c r="BK2" s="48" t="s">
        <v>597</v>
      </c>
      <c r="BM2" s="48"/>
      <c r="BN2" s="48" t="s">
        <v>594</v>
      </c>
      <c r="BO2" s="48" t="s">
        <v>596</v>
      </c>
      <c r="BP2" s="48" t="s">
        <v>597</v>
      </c>
      <c r="BR2" s="48"/>
      <c r="BS2" s="48" t="s">
        <v>594</v>
      </c>
      <c r="BT2" s="48" t="s">
        <v>596</v>
      </c>
      <c r="BU2" s="48" t="s">
        <v>597</v>
      </c>
      <c r="BW2" s="48"/>
      <c r="BX2" s="48" t="s">
        <v>594</v>
      </c>
      <c r="BY2" s="48" t="s">
        <v>596</v>
      </c>
      <c r="BZ2" s="48" t="s">
        <v>597</v>
      </c>
      <c r="CB2" s="47"/>
      <c r="CC2" s="47"/>
      <c r="CD2" s="47"/>
      <c r="CE2" s="47"/>
      <c r="CG2" s="48"/>
      <c r="CH2" s="48" t="s">
        <v>594</v>
      </c>
      <c r="CI2" s="48" t="s">
        <v>596</v>
      </c>
      <c r="CJ2" s="48" t="s">
        <v>597</v>
      </c>
      <c r="CL2" s="48"/>
      <c r="CM2" s="48" t="s">
        <v>594</v>
      </c>
      <c r="CN2" s="48" t="s">
        <v>596</v>
      </c>
      <c r="CO2" s="48" t="s">
        <v>597</v>
      </c>
      <c r="CQ2" s="48"/>
      <c r="CR2" s="48" t="s">
        <v>594</v>
      </c>
      <c r="CS2" s="48" t="s">
        <v>596</v>
      </c>
      <c r="CT2" s="48" t="s">
        <v>597</v>
      </c>
      <c r="CV2" s="48"/>
      <c r="CW2" s="48" t="s">
        <v>594</v>
      </c>
      <c r="CX2" s="48" t="s">
        <v>596</v>
      </c>
      <c r="CY2" s="48" t="s">
        <v>597</v>
      </c>
      <c r="DA2" s="47"/>
      <c r="DB2" s="47"/>
      <c r="DC2" s="47"/>
      <c r="DD2" s="47"/>
      <c r="DF2" s="48"/>
      <c r="DG2" s="48" t="s">
        <v>594</v>
      </c>
      <c r="DH2" s="48" t="s">
        <v>596</v>
      </c>
      <c r="DI2" s="48" t="s">
        <v>597</v>
      </c>
      <c r="DK2" s="48"/>
      <c r="DL2" s="48" t="s">
        <v>594</v>
      </c>
      <c r="DM2" s="48" t="s">
        <v>596</v>
      </c>
      <c r="DN2" s="48" t="s">
        <v>597</v>
      </c>
      <c r="DP2" s="66"/>
      <c r="DQ2" s="66" t="s">
        <v>594</v>
      </c>
      <c r="DR2" s="66" t="s">
        <v>596</v>
      </c>
      <c r="DS2" s="66" t="s">
        <v>597</v>
      </c>
    </row>
    <row r="3" spans="1:123">
      <c r="A3" s="49"/>
      <c r="B3" s="49" t="s">
        <v>612</v>
      </c>
      <c r="C3" s="50" t="s">
        <v>599</v>
      </c>
      <c r="D3" s="42"/>
      <c r="F3" s="58"/>
      <c r="G3" s="58" t="s">
        <v>612</v>
      </c>
      <c r="H3" s="59" t="s">
        <v>599</v>
      </c>
      <c r="I3" s="53"/>
      <c r="K3" s="68"/>
      <c r="L3" s="68" t="s">
        <v>617</v>
      </c>
      <c r="M3" s="50" t="s">
        <v>599</v>
      </c>
      <c r="N3" s="42"/>
      <c r="P3" s="66"/>
      <c r="Q3" s="66" t="s">
        <v>594</v>
      </c>
      <c r="R3" s="66" t="s">
        <v>596</v>
      </c>
      <c r="S3" s="66" t="s">
        <v>597</v>
      </c>
      <c r="U3" s="75"/>
      <c r="V3" s="75" t="s">
        <v>615</v>
      </c>
      <c r="W3" s="95" t="s">
        <v>602</v>
      </c>
      <c r="X3" s="63" t="s">
        <v>679</v>
      </c>
      <c r="Z3" s="49"/>
      <c r="AA3" s="49" t="s">
        <v>691</v>
      </c>
      <c r="AB3" s="50" t="s">
        <v>599</v>
      </c>
      <c r="AC3" s="42"/>
      <c r="AE3" s="68"/>
      <c r="AF3" s="68" t="s">
        <v>612</v>
      </c>
      <c r="AG3" s="79" t="s">
        <v>599</v>
      </c>
      <c r="AH3" s="80"/>
      <c r="AN3" s="49"/>
      <c r="AO3" s="49" t="s">
        <v>613</v>
      </c>
      <c r="AP3" s="50" t="s">
        <v>599</v>
      </c>
      <c r="AQ3" s="42"/>
      <c r="AS3" s="49"/>
      <c r="AT3" s="49" t="s">
        <v>612</v>
      </c>
      <c r="AU3" s="50" t="s">
        <v>599</v>
      </c>
      <c r="AV3" s="42"/>
      <c r="AX3" s="49"/>
      <c r="AY3" s="49" t="s">
        <v>617</v>
      </c>
      <c r="AZ3" s="96" t="s">
        <v>602</v>
      </c>
      <c r="BA3" s="43" t="s">
        <v>819</v>
      </c>
      <c r="BC3" s="49"/>
      <c r="BD3" s="49" t="s">
        <v>839</v>
      </c>
      <c r="BE3" s="50" t="s">
        <v>599</v>
      </c>
      <c r="BF3" s="42"/>
      <c r="BH3" s="49"/>
      <c r="BI3" s="49" t="s">
        <v>612</v>
      </c>
      <c r="BJ3" s="50" t="s">
        <v>599</v>
      </c>
      <c r="BK3" s="42"/>
      <c r="BM3" s="49"/>
      <c r="BN3" s="49" t="s">
        <v>612</v>
      </c>
      <c r="BO3" s="50" t="s">
        <v>599</v>
      </c>
      <c r="BP3" s="42"/>
      <c r="BR3" s="49"/>
      <c r="BS3" s="49" t="s">
        <v>3</v>
      </c>
      <c r="BT3" s="50" t="s">
        <v>599</v>
      </c>
      <c r="BU3" s="42"/>
      <c r="BW3" s="49"/>
      <c r="BX3" s="49" t="s">
        <v>722</v>
      </c>
      <c r="BY3" s="96" t="s">
        <v>602</v>
      </c>
      <c r="BZ3" s="42" t="s">
        <v>903</v>
      </c>
      <c r="CB3" s="48"/>
      <c r="CC3" s="48" t="s">
        <v>594</v>
      </c>
      <c r="CD3" s="48" t="s">
        <v>596</v>
      </c>
      <c r="CE3" s="48" t="s">
        <v>597</v>
      </c>
      <c r="CG3" s="49"/>
      <c r="CH3" s="49" t="s">
        <v>1</v>
      </c>
      <c r="CI3" s="50" t="s">
        <v>599</v>
      </c>
      <c r="CJ3" s="42"/>
      <c r="CL3" s="49"/>
      <c r="CM3" s="49" t="s">
        <v>613</v>
      </c>
      <c r="CN3" s="50" t="s">
        <v>599</v>
      </c>
      <c r="CO3" s="42"/>
      <c r="CQ3" s="49"/>
      <c r="CR3" s="49" t="s">
        <v>636</v>
      </c>
      <c r="CS3" s="50" t="s">
        <v>599</v>
      </c>
      <c r="CT3" s="42"/>
      <c r="CV3" s="49"/>
      <c r="CW3" s="49" t="s">
        <v>105</v>
      </c>
      <c r="CX3" s="96" t="s">
        <v>602</v>
      </c>
      <c r="CY3" s="43" t="s">
        <v>711</v>
      </c>
      <c r="DA3" s="48"/>
      <c r="DB3" s="48" t="s">
        <v>594</v>
      </c>
      <c r="DC3" s="48" t="s">
        <v>596</v>
      </c>
      <c r="DD3" s="48" t="s">
        <v>597</v>
      </c>
      <c r="DF3" s="49"/>
      <c r="DG3" s="49" t="s">
        <v>3</v>
      </c>
      <c r="DH3" s="50" t="s">
        <v>599</v>
      </c>
      <c r="DI3" s="43" t="s">
        <v>631</v>
      </c>
      <c r="DK3" s="49"/>
      <c r="DL3" s="49" t="s">
        <v>617</v>
      </c>
      <c r="DM3" s="96" t="s">
        <v>602</v>
      </c>
      <c r="DN3" s="43" t="s">
        <v>1029</v>
      </c>
      <c r="DP3" s="67"/>
      <c r="DQ3" s="67" t="s">
        <v>617</v>
      </c>
      <c r="DR3" s="95" t="s">
        <v>602</v>
      </c>
      <c r="DS3" s="63" t="s">
        <v>1029</v>
      </c>
    </row>
    <row r="4" spans="1:123">
      <c r="A4" s="49"/>
      <c r="B4" s="49" t="s">
        <v>613</v>
      </c>
      <c r="C4" s="50" t="s">
        <v>599</v>
      </c>
      <c r="D4" s="41"/>
      <c r="F4" s="58"/>
      <c r="G4" s="58" t="s">
        <v>613</v>
      </c>
      <c r="H4" s="59" t="s">
        <v>599</v>
      </c>
      <c r="I4" s="54"/>
      <c r="K4" s="68"/>
      <c r="L4" s="68" t="s">
        <v>618</v>
      </c>
      <c r="M4" s="50" t="s">
        <v>599</v>
      </c>
      <c r="N4" s="41"/>
      <c r="P4" s="67"/>
      <c r="Q4" s="67" t="s">
        <v>613</v>
      </c>
      <c r="R4" s="95" t="s">
        <v>602</v>
      </c>
      <c r="S4" s="61" t="s">
        <v>668</v>
      </c>
      <c r="U4" s="75"/>
      <c r="V4" s="75" t="s">
        <v>636</v>
      </c>
      <c r="W4" s="77" t="s">
        <v>599</v>
      </c>
      <c r="X4" s="62"/>
      <c r="Z4" s="49"/>
      <c r="AA4" s="49" t="s">
        <v>636</v>
      </c>
      <c r="AB4" s="50" t="s">
        <v>599</v>
      </c>
      <c r="AC4" s="41"/>
      <c r="AE4" s="68"/>
      <c r="AF4" s="68" t="s">
        <v>691</v>
      </c>
      <c r="AG4" s="79" t="s">
        <v>599</v>
      </c>
      <c r="AH4" s="69"/>
      <c r="AN4" s="49"/>
      <c r="AO4" s="49" t="s">
        <v>614</v>
      </c>
      <c r="AP4" s="50" t="s">
        <v>599</v>
      </c>
      <c r="AQ4" s="41"/>
      <c r="AS4" s="49"/>
      <c r="AT4" s="49" t="s">
        <v>613</v>
      </c>
      <c r="AU4" s="50" t="s">
        <v>599</v>
      </c>
      <c r="AV4" s="41"/>
      <c r="AX4" s="49"/>
      <c r="AY4" s="49" t="s">
        <v>618</v>
      </c>
      <c r="AZ4" s="50" t="s">
        <v>599</v>
      </c>
      <c r="BA4" s="51" t="s">
        <v>820</v>
      </c>
      <c r="BC4" s="49"/>
      <c r="BD4" s="49" t="s">
        <v>840</v>
      </c>
      <c r="BE4" s="50" t="s">
        <v>599</v>
      </c>
      <c r="BF4" s="41"/>
      <c r="BH4" s="49"/>
      <c r="BI4" s="49" t="s">
        <v>613</v>
      </c>
      <c r="BJ4" s="50" t="s">
        <v>599</v>
      </c>
      <c r="BK4" s="41"/>
      <c r="BM4" s="49"/>
      <c r="BN4" s="49" t="s">
        <v>613</v>
      </c>
      <c r="BO4" s="50" t="s">
        <v>599</v>
      </c>
      <c r="BP4" s="41"/>
      <c r="BR4" s="49"/>
      <c r="BS4" s="49" t="s">
        <v>840</v>
      </c>
      <c r="BT4" s="50" t="s">
        <v>599</v>
      </c>
      <c r="BU4" s="41"/>
      <c r="BW4" s="49"/>
      <c r="BX4" s="49" t="s">
        <v>143</v>
      </c>
      <c r="BY4" s="96" t="s">
        <v>602</v>
      </c>
      <c r="BZ4" s="51" t="s">
        <v>799</v>
      </c>
      <c r="CB4" s="49"/>
      <c r="CC4" s="49" t="s">
        <v>3</v>
      </c>
      <c r="CD4" s="50" t="s">
        <v>599</v>
      </c>
      <c r="CE4" s="41"/>
      <c r="CG4" s="49"/>
      <c r="CH4" s="49" t="s">
        <v>79</v>
      </c>
      <c r="CI4" s="50" t="s">
        <v>599</v>
      </c>
      <c r="CJ4" s="41"/>
      <c r="CL4" s="49"/>
      <c r="CM4" s="49" t="s">
        <v>614</v>
      </c>
      <c r="CN4" s="96" t="s">
        <v>602</v>
      </c>
      <c r="CO4" s="51" t="s">
        <v>950</v>
      </c>
      <c r="CQ4" s="49"/>
      <c r="CR4" s="49" t="s">
        <v>617</v>
      </c>
      <c r="CS4" s="96" t="s">
        <v>602</v>
      </c>
      <c r="CT4" s="41" t="s">
        <v>967</v>
      </c>
      <c r="CV4" s="49"/>
      <c r="CW4" s="49" t="s">
        <v>617</v>
      </c>
      <c r="CX4" s="50" t="s">
        <v>599</v>
      </c>
      <c r="CY4" s="41"/>
      <c r="DA4" s="49"/>
      <c r="DB4" s="49" t="s">
        <v>79</v>
      </c>
      <c r="DC4" s="50" t="s">
        <v>599</v>
      </c>
      <c r="DD4" s="41"/>
      <c r="DF4" s="49"/>
      <c r="DG4" s="49" t="s">
        <v>78</v>
      </c>
      <c r="DH4" s="50" t="s">
        <v>599</v>
      </c>
      <c r="DI4" s="51" t="s">
        <v>675</v>
      </c>
      <c r="DK4" s="49"/>
      <c r="DL4" s="49" t="s">
        <v>625</v>
      </c>
      <c r="DM4" s="96" t="s">
        <v>602</v>
      </c>
      <c r="DN4" s="51" t="s">
        <v>1030</v>
      </c>
      <c r="DP4" s="67"/>
      <c r="DQ4" s="67" t="s">
        <v>625</v>
      </c>
      <c r="DR4" s="95" t="s">
        <v>602</v>
      </c>
      <c r="DS4" s="64" t="s">
        <v>1030</v>
      </c>
    </row>
    <row r="5" spans="1:123" ht="38.25">
      <c r="A5" s="49"/>
      <c r="B5" s="49" t="s">
        <v>614</v>
      </c>
      <c r="C5" s="50" t="s">
        <v>599</v>
      </c>
      <c r="D5" s="42"/>
      <c r="F5" s="58"/>
      <c r="G5" s="58" t="s">
        <v>615</v>
      </c>
      <c r="H5" s="59" t="s">
        <v>599</v>
      </c>
      <c r="I5" s="55" t="s">
        <v>635</v>
      </c>
      <c r="K5" s="68"/>
      <c r="L5" s="68" t="s">
        <v>620</v>
      </c>
      <c r="M5" s="50" t="s">
        <v>599</v>
      </c>
      <c r="N5" s="41"/>
      <c r="P5" s="67"/>
      <c r="Q5" s="67" t="s">
        <v>615</v>
      </c>
      <c r="R5" s="77" t="s">
        <v>599</v>
      </c>
      <c r="S5" s="62"/>
      <c r="U5" s="75"/>
      <c r="V5" s="75" t="s">
        <v>616</v>
      </c>
      <c r="W5" s="95" t="s">
        <v>602</v>
      </c>
      <c r="X5" s="61" t="s">
        <v>680</v>
      </c>
      <c r="Z5" s="49"/>
      <c r="AA5" s="49" t="s">
        <v>616</v>
      </c>
      <c r="AB5" s="50" t="s">
        <v>599</v>
      </c>
      <c r="AC5" s="42"/>
      <c r="AE5" s="68"/>
      <c r="AF5" s="68" t="s">
        <v>613</v>
      </c>
      <c r="AG5" s="79" t="s">
        <v>599</v>
      </c>
      <c r="AH5" s="80"/>
      <c r="AN5" s="49"/>
      <c r="AO5" s="49" t="s">
        <v>615</v>
      </c>
      <c r="AP5" s="50" t="s">
        <v>599</v>
      </c>
      <c r="AQ5" s="43" t="s">
        <v>773</v>
      </c>
      <c r="AS5" s="49"/>
      <c r="AT5" s="49" t="s">
        <v>614</v>
      </c>
      <c r="AU5" s="50" t="s">
        <v>599</v>
      </c>
      <c r="AV5" s="43" t="s">
        <v>784</v>
      </c>
      <c r="AX5" s="49"/>
      <c r="AY5" s="49" t="s">
        <v>620</v>
      </c>
      <c r="AZ5" s="50" t="s">
        <v>599</v>
      </c>
      <c r="BA5" s="43" t="s">
        <v>821</v>
      </c>
      <c r="BC5" s="49"/>
      <c r="BD5" s="49" t="s">
        <v>612</v>
      </c>
      <c r="BE5" s="96" t="s">
        <v>602</v>
      </c>
      <c r="BF5" s="43" t="s">
        <v>841</v>
      </c>
      <c r="BH5" s="49"/>
      <c r="BI5" s="49" t="s">
        <v>652</v>
      </c>
      <c r="BJ5" s="96" t="s">
        <v>602</v>
      </c>
      <c r="BK5" s="43" t="s">
        <v>860</v>
      </c>
      <c r="BM5" s="49"/>
      <c r="BN5" s="49" t="s">
        <v>614</v>
      </c>
      <c r="BO5" s="50" t="s">
        <v>599</v>
      </c>
      <c r="BP5" s="43" t="s">
        <v>872</v>
      </c>
      <c r="BR5" s="49"/>
      <c r="BS5" s="49" t="s">
        <v>613</v>
      </c>
      <c r="BT5" s="50" t="s">
        <v>599</v>
      </c>
      <c r="BU5" s="42"/>
      <c r="BW5" s="49"/>
      <c r="BX5" s="49" t="s">
        <v>899</v>
      </c>
      <c r="BY5" s="96" t="s">
        <v>602</v>
      </c>
      <c r="BZ5" s="42" t="s">
        <v>904</v>
      </c>
      <c r="CG5" s="49"/>
      <c r="CH5" s="49" t="s">
        <v>105</v>
      </c>
      <c r="CI5" s="50" t="s">
        <v>599</v>
      </c>
      <c r="CJ5" s="42"/>
      <c r="CL5" s="49"/>
      <c r="CM5" s="49" t="s">
        <v>617</v>
      </c>
      <c r="CN5" s="50" t="s">
        <v>599</v>
      </c>
      <c r="CO5" s="42"/>
      <c r="CQ5" s="49"/>
      <c r="CR5" s="49" t="s">
        <v>618</v>
      </c>
      <c r="CS5" s="96" t="s">
        <v>602</v>
      </c>
      <c r="CT5" s="42" t="s">
        <v>967</v>
      </c>
      <c r="CV5" s="49"/>
      <c r="CW5" s="49" t="s">
        <v>618</v>
      </c>
      <c r="CX5" s="50" t="s">
        <v>599</v>
      </c>
      <c r="CY5" s="42"/>
      <c r="DF5" s="49"/>
      <c r="DG5" s="49" t="s">
        <v>620</v>
      </c>
      <c r="DH5" s="96" t="s">
        <v>602</v>
      </c>
      <c r="DI5" s="43" t="s">
        <v>1009</v>
      </c>
      <c r="DK5" s="49"/>
      <c r="DL5" s="49" t="s">
        <v>630</v>
      </c>
      <c r="DM5" s="96" t="s">
        <v>602</v>
      </c>
      <c r="DN5" s="43" t="s">
        <v>1031</v>
      </c>
      <c r="DP5" s="67"/>
      <c r="DQ5" s="67" t="s">
        <v>630</v>
      </c>
      <c r="DR5" s="95" t="s">
        <v>602</v>
      </c>
      <c r="DS5" s="63" t="s">
        <v>1031</v>
      </c>
    </row>
    <row r="6" spans="1:123">
      <c r="A6" s="49"/>
      <c r="B6" s="49" t="s">
        <v>615</v>
      </c>
      <c r="C6" s="50" t="s">
        <v>599</v>
      </c>
      <c r="D6" s="41"/>
      <c r="F6" s="58"/>
      <c r="G6" s="58" t="s">
        <v>636</v>
      </c>
      <c r="H6" s="59" t="s">
        <v>599</v>
      </c>
      <c r="I6" s="54"/>
      <c r="P6" s="67"/>
      <c r="Q6" s="67" t="s">
        <v>616</v>
      </c>
      <c r="R6" s="95" t="s">
        <v>602</v>
      </c>
      <c r="S6" s="63" t="s">
        <v>669</v>
      </c>
      <c r="U6" s="75"/>
      <c r="V6" s="75" t="s">
        <v>617</v>
      </c>
      <c r="W6" s="77" t="s">
        <v>599</v>
      </c>
      <c r="X6" s="62"/>
      <c r="Z6" s="49"/>
      <c r="AA6" s="49" t="s">
        <v>617</v>
      </c>
      <c r="AB6" s="50" t="s">
        <v>599</v>
      </c>
      <c r="AC6" s="41"/>
      <c r="AE6" s="68"/>
      <c r="AF6" s="68" t="s">
        <v>615</v>
      </c>
      <c r="AG6" s="100" t="s">
        <v>602</v>
      </c>
      <c r="AH6" s="81" t="s">
        <v>702</v>
      </c>
      <c r="AN6" s="49"/>
      <c r="AO6" s="49" t="s">
        <v>617</v>
      </c>
      <c r="AP6" s="50" t="s">
        <v>599</v>
      </c>
      <c r="AQ6" s="41"/>
      <c r="AS6" s="49"/>
      <c r="AT6" s="49" t="s">
        <v>1</v>
      </c>
      <c r="AU6" s="50" t="s">
        <v>599</v>
      </c>
      <c r="AV6" s="41"/>
      <c r="AX6" s="49"/>
      <c r="AY6" s="49" t="s">
        <v>621</v>
      </c>
      <c r="AZ6" s="50" t="s">
        <v>599</v>
      </c>
      <c r="BA6" s="51" t="s">
        <v>822</v>
      </c>
      <c r="BC6" s="49"/>
      <c r="BD6" s="49" t="s">
        <v>1</v>
      </c>
      <c r="BE6" s="96" t="s">
        <v>602</v>
      </c>
      <c r="BF6" s="41" t="s">
        <v>642</v>
      </c>
      <c r="BH6" s="49"/>
      <c r="BI6" s="49" t="s">
        <v>80</v>
      </c>
      <c r="BJ6" s="50" t="s">
        <v>599</v>
      </c>
      <c r="BK6" s="51" t="s">
        <v>694</v>
      </c>
      <c r="BM6" s="49"/>
      <c r="BN6" s="49" t="s">
        <v>615</v>
      </c>
      <c r="BO6" s="96" t="s">
        <v>602</v>
      </c>
      <c r="BP6" s="51" t="s">
        <v>873</v>
      </c>
      <c r="BR6" s="49"/>
      <c r="BS6" s="49" t="s">
        <v>615</v>
      </c>
      <c r="BT6" s="96" t="s">
        <v>602</v>
      </c>
      <c r="BU6" s="41" t="s">
        <v>891</v>
      </c>
      <c r="CG6" s="49"/>
      <c r="CH6" s="49" t="s">
        <v>142</v>
      </c>
      <c r="CI6" s="50" t="s">
        <v>599</v>
      </c>
      <c r="CJ6" s="41"/>
      <c r="CL6" s="49"/>
      <c r="CM6" s="49" t="s">
        <v>618</v>
      </c>
      <c r="CN6" s="50" t="s">
        <v>599</v>
      </c>
      <c r="CO6" s="41"/>
      <c r="CQ6" s="49"/>
      <c r="CR6" s="49" t="s">
        <v>619</v>
      </c>
      <c r="CS6" s="96" t="s">
        <v>602</v>
      </c>
      <c r="CT6" s="41" t="s">
        <v>968</v>
      </c>
      <c r="CV6" s="49"/>
      <c r="CW6" s="49" t="s">
        <v>619</v>
      </c>
      <c r="CX6" s="50" t="s">
        <v>599</v>
      </c>
      <c r="CY6" s="41"/>
      <c r="DF6" s="49"/>
      <c r="DG6" s="49" t="s">
        <v>845</v>
      </c>
      <c r="DH6" s="96" t="s">
        <v>602</v>
      </c>
      <c r="DI6" s="51" t="s">
        <v>1010</v>
      </c>
    </row>
    <row r="7" spans="1:123">
      <c r="A7" s="49"/>
      <c r="B7" s="49" t="s">
        <v>616</v>
      </c>
      <c r="C7" s="50" t="s">
        <v>599</v>
      </c>
      <c r="D7" s="42"/>
      <c r="F7" s="58"/>
      <c r="G7" s="58" t="s">
        <v>637</v>
      </c>
      <c r="H7" s="59" t="s">
        <v>599</v>
      </c>
      <c r="I7" s="53"/>
      <c r="P7" s="67"/>
      <c r="Q7" s="67" t="s">
        <v>617</v>
      </c>
      <c r="R7" s="77" t="s">
        <v>599</v>
      </c>
      <c r="S7" s="62"/>
      <c r="U7" s="75"/>
      <c r="V7" s="75" t="s">
        <v>618</v>
      </c>
      <c r="W7" s="77" t="s">
        <v>599</v>
      </c>
      <c r="X7" s="61"/>
      <c r="Z7" s="49"/>
      <c r="AA7" s="49" t="s">
        <v>618</v>
      </c>
      <c r="AB7" s="96" t="s">
        <v>602</v>
      </c>
      <c r="AC7" s="42" t="s">
        <v>692</v>
      </c>
      <c r="AE7" s="68"/>
      <c r="AF7" s="68" t="s">
        <v>703</v>
      </c>
      <c r="AG7" s="100" t="s">
        <v>602</v>
      </c>
      <c r="AH7" s="82" t="s">
        <v>704</v>
      </c>
      <c r="AN7" s="49"/>
      <c r="AO7" s="49" t="s">
        <v>618</v>
      </c>
      <c r="AP7" s="50" t="s">
        <v>599</v>
      </c>
      <c r="AQ7" s="42"/>
      <c r="AS7" s="49"/>
      <c r="AT7" s="49" t="s">
        <v>615</v>
      </c>
      <c r="AU7" s="96" t="s">
        <v>602</v>
      </c>
      <c r="AV7" s="43" t="s">
        <v>785</v>
      </c>
      <c r="AX7" s="49"/>
      <c r="AY7" s="49" t="s">
        <v>625</v>
      </c>
      <c r="AZ7" s="50" t="s">
        <v>599</v>
      </c>
      <c r="BA7" s="43" t="s">
        <v>823</v>
      </c>
      <c r="BC7" s="49"/>
      <c r="BD7" s="49" t="s">
        <v>78</v>
      </c>
      <c r="BE7" s="50" t="s">
        <v>599</v>
      </c>
      <c r="BF7" s="42"/>
      <c r="BH7" s="49"/>
      <c r="BI7" s="49" t="s">
        <v>636</v>
      </c>
      <c r="BJ7" s="50" t="s">
        <v>599</v>
      </c>
      <c r="BK7" s="42"/>
      <c r="BM7" s="49"/>
      <c r="BN7" s="49" t="s">
        <v>703</v>
      </c>
      <c r="BO7" s="96" t="s">
        <v>602</v>
      </c>
      <c r="BP7" s="43" t="s">
        <v>874</v>
      </c>
      <c r="BR7" s="49"/>
      <c r="BS7" s="49" t="s">
        <v>636</v>
      </c>
      <c r="BT7" s="50" t="s">
        <v>599</v>
      </c>
      <c r="BU7" s="43" t="s">
        <v>892</v>
      </c>
      <c r="CG7" s="49"/>
      <c r="CH7" s="49" t="s">
        <v>800</v>
      </c>
      <c r="CI7" s="96" t="s">
        <v>602</v>
      </c>
      <c r="CJ7" s="43" t="s">
        <v>935</v>
      </c>
      <c r="CL7" s="49"/>
      <c r="CM7" s="49" t="s">
        <v>619</v>
      </c>
      <c r="CN7" s="50" t="s">
        <v>599</v>
      </c>
      <c r="CO7" s="42"/>
      <c r="CQ7" s="49"/>
      <c r="CR7" s="49" t="s">
        <v>620</v>
      </c>
      <c r="CS7" s="96" t="s">
        <v>602</v>
      </c>
      <c r="CT7" s="42" t="s">
        <v>967</v>
      </c>
      <c r="CV7" s="49"/>
      <c r="CW7" s="49" t="s">
        <v>722</v>
      </c>
      <c r="CX7" s="50" t="s">
        <v>599</v>
      </c>
      <c r="CY7" s="43" t="s">
        <v>975</v>
      </c>
      <c r="DF7" s="49"/>
      <c r="DG7" s="49" t="s">
        <v>143</v>
      </c>
      <c r="DH7" s="96" t="s">
        <v>602</v>
      </c>
      <c r="DI7" s="43" t="s">
        <v>810</v>
      </c>
    </row>
    <row r="8" spans="1:123" ht="51">
      <c r="A8" s="49"/>
      <c r="B8" s="49" t="s">
        <v>617</v>
      </c>
      <c r="C8" s="50" t="s">
        <v>599</v>
      </c>
      <c r="D8" s="41"/>
      <c r="F8" s="58"/>
      <c r="G8" s="58" t="s">
        <v>616</v>
      </c>
      <c r="H8" s="59" t="s">
        <v>599</v>
      </c>
      <c r="I8" s="56" t="s">
        <v>638</v>
      </c>
      <c r="P8" s="67"/>
      <c r="Q8" s="67" t="s">
        <v>618</v>
      </c>
      <c r="R8" s="95" t="s">
        <v>602</v>
      </c>
      <c r="S8" s="61" t="s">
        <v>670</v>
      </c>
      <c r="U8" s="75"/>
      <c r="V8" s="75" t="s">
        <v>619</v>
      </c>
      <c r="W8" s="77" t="s">
        <v>599</v>
      </c>
      <c r="X8" s="62"/>
      <c r="Z8" s="49"/>
      <c r="AA8" s="49" t="s">
        <v>619</v>
      </c>
      <c r="AB8" s="50" t="s">
        <v>599</v>
      </c>
      <c r="AC8" s="41"/>
      <c r="AE8" s="68"/>
      <c r="AF8" s="68" t="s">
        <v>636</v>
      </c>
      <c r="AG8" s="79" t="s">
        <v>599</v>
      </c>
      <c r="AH8" s="69"/>
      <c r="AN8" s="49"/>
      <c r="AO8" s="49" t="s">
        <v>619</v>
      </c>
      <c r="AP8" s="50" t="s">
        <v>599</v>
      </c>
      <c r="AQ8" s="41"/>
      <c r="AS8" s="49"/>
      <c r="AT8" s="49" t="s">
        <v>79</v>
      </c>
      <c r="AU8" s="50" t="s">
        <v>599</v>
      </c>
      <c r="AV8" s="41"/>
      <c r="AX8" s="49"/>
      <c r="AY8" s="49" t="s">
        <v>630</v>
      </c>
      <c r="AZ8" s="50" t="s">
        <v>599</v>
      </c>
      <c r="BA8" s="51" t="s">
        <v>824</v>
      </c>
      <c r="BC8" s="49"/>
      <c r="BD8" s="49" t="s">
        <v>79</v>
      </c>
      <c r="BE8" s="50" t="s">
        <v>599</v>
      </c>
      <c r="BF8" s="41"/>
      <c r="BH8" s="49"/>
      <c r="BI8" s="49" t="s">
        <v>105</v>
      </c>
      <c r="BJ8" s="50" t="s">
        <v>599</v>
      </c>
      <c r="BK8" s="51" t="s">
        <v>707</v>
      </c>
      <c r="BM8" s="49"/>
      <c r="BN8" s="49" t="s">
        <v>636</v>
      </c>
      <c r="BO8" s="50" t="s">
        <v>599</v>
      </c>
      <c r="BP8" s="41"/>
      <c r="BR8" s="49"/>
      <c r="BS8" s="49" t="s">
        <v>637</v>
      </c>
      <c r="BT8" s="50" t="s">
        <v>599</v>
      </c>
      <c r="BU8" s="51" t="s">
        <v>893</v>
      </c>
      <c r="CL8" s="49"/>
      <c r="CM8" s="49" t="s">
        <v>620</v>
      </c>
      <c r="CN8" s="96" t="s">
        <v>602</v>
      </c>
      <c r="CO8" s="41" t="s">
        <v>951</v>
      </c>
      <c r="CQ8" s="49"/>
      <c r="CR8" s="49" t="s">
        <v>621</v>
      </c>
      <c r="CS8" s="96" t="s">
        <v>602</v>
      </c>
      <c r="CT8" s="41" t="s">
        <v>967</v>
      </c>
      <c r="CV8" s="49"/>
      <c r="CW8" s="49" t="s">
        <v>620</v>
      </c>
      <c r="CX8" s="50" t="s">
        <v>599</v>
      </c>
      <c r="CY8" s="41"/>
      <c r="DF8" s="49"/>
      <c r="DG8" s="49" t="s">
        <v>172</v>
      </c>
      <c r="DH8" s="50" t="s">
        <v>599</v>
      </c>
      <c r="DI8" s="51" t="s">
        <v>865</v>
      </c>
    </row>
    <row r="9" spans="1:123">
      <c r="A9" s="49"/>
      <c r="B9" s="49" t="s">
        <v>618</v>
      </c>
      <c r="C9" s="50" t="s">
        <v>599</v>
      </c>
      <c r="D9" s="42"/>
      <c r="F9" s="58"/>
      <c r="G9" s="58" t="s">
        <v>617</v>
      </c>
      <c r="H9" s="59" t="s">
        <v>599</v>
      </c>
      <c r="I9" s="53"/>
      <c r="P9" s="67"/>
      <c r="Q9" s="67" t="s">
        <v>619</v>
      </c>
      <c r="R9" s="77" t="s">
        <v>599</v>
      </c>
      <c r="S9" s="62"/>
      <c r="U9" s="76"/>
      <c r="V9" s="76" t="s">
        <v>598</v>
      </c>
      <c r="W9" s="77" t="s">
        <v>599</v>
      </c>
      <c r="X9" s="61"/>
      <c r="Z9" s="50"/>
      <c r="AA9" s="50" t="s">
        <v>598</v>
      </c>
      <c r="AB9" s="50" t="s">
        <v>599</v>
      </c>
      <c r="AC9" s="42"/>
      <c r="AE9" s="68"/>
      <c r="AF9" s="68" t="s">
        <v>637</v>
      </c>
      <c r="AG9" s="79" t="s">
        <v>599</v>
      </c>
      <c r="AH9" s="80"/>
      <c r="AN9" s="50"/>
      <c r="AO9" s="50" t="s">
        <v>598</v>
      </c>
      <c r="AP9" s="50" t="s">
        <v>599</v>
      </c>
      <c r="AQ9" s="42"/>
      <c r="AS9" s="49"/>
      <c r="AT9" s="49" t="s">
        <v>652</v>
      </c>
      <c r="AU9" s="96" t="s">
        <v>602</v>
      </c>
      <c r="AV9" s="43" t="s">
        <v>786</v>
      </c>
      <c r="AX9" s="49"/>
      <c r="AY9" s="49" t="s">
        <v>649</v>
      </c>
      <c r="AZ9" s="50" t="s">
        <v>599</v>
      </c>
      <c r="BA9" s="43" t="s">
        <v>825</v>
      </c>
      <c r="BC9" s="49"/>
      <c r="BD9" s="49" t="s">
        <v>80</v>
      </c>
      <c r="BE9" s="50" t="s">
        <v>599</v>
      </c>
      <c r="BF9" s="42"/>
      <c r="BH9" s="49"/>
      <c r="BI9" s="49" t="s">
        <v>637</v>
      </c>
      <c r="BJ9" s="50" t="s">
        <v>599</v>
      </c>
      <c r="BK9" s="42"/>
      <c r="BM9" s="49"/>
      <c r="BN9" s="49" t="s">
        <v>637</v>
      </c>
      <c r="BO9" s="50" t="s">
        <v>599</v>
      </c>
      <c r="BP9" s="42"/>
      <c r="BR9" s="49"/>
      <c r="BS9" s="49" t="s">
        <v>617</v>
      </c>
      <c r="BT9" s="50" t="s">
        <v>599</v>
      </c>
      <c r="BU9" s="42"/>
      <c r="CL9" s="49"/>
      <c r="CM9" s="49" t="s">
        <v>143</v>
      </c>
      <c r="CN9" s="50" t="s">
        <v>599</v>
      </c>
      <c r="CO9" s="42"/>
      <c r="CQ9" s="49"/>
      <c r="CR9" s="49" t="s">
        <v>625</v>
      </c>
      <c r="CS9" s="96" t="s">
        <v>602</v>
      </c>
      <c r="CT9" s="42" t="s">
        <v>967</v>
      </c>
      <c r="CV9" s="49"/>
      <c r="CW9" s="49" t="s">
        <v>143</v>
      </c>
      <c r="CX9" s="50" t="s">
        <v>599</v>
      </c>
      <c r="CY9" s="42"/>
      <c r="DF9" s="49"/>
      <c r="DG9" s="49" t="s">
        <v>173</v>
      </c>
      <c r="DH9" s="50" t="s">
        <v>599</v>
      </c>
      <c r="DI9" s="43" t="s">
        <v>882</v>
      </c>
    </row>
    <row r="10" spans="1:123">
      <c r="A10" s="49"/>
      <c r="B10" s="49" t="s">
        <v>619</v>
      </c>
      <c r="C10" s="50" t="s">
        <v>599</v>
      </c>
      <c r="D10" s="41"/>
      <c r="F10" s="58"/>
      <c r="G10" s="58" t="s">
        <v>618</v>
      </c>
      <c r="H10" s="59" t="s">
        <v>599</v>
      </c>
      <c r="I10" s="54"/>
      <c r="P10" s="77"/>
      <c r="Q10" s="77" t="s">
        <v>598</v>
      </c>
      <c r="R10" s="77" t="s">
        <v>599</v>
      </c>
      <c r="S10" s="61"/>
      <c r="U10" s="75"/>
      <c r="V10" s="75" t="s">
        <v>601</v>
      </c>
      <c r="W10" s="95" t="s">
        <v>602</v>
      </c>
      <c r="X10" s="62" t="s">
        <v>681</v>
      </c>
      <c r="Z10" s="49"/>
      <c r="AA10" s="49" t="s">
        <v>601</v>
      </c>
      <c r="AB10" s="50" t="s">
        <v>599</v>
      </c>
      <c r="AC10" s="41"/>
      <c r="AE10" s="68"/>
      <c r="AF10" s="68" t="s">
        <v>616</v>
      </c>
      <c r="AG10" s="79" t="s">
        <v>599</v>
      </c>
      <c r="AH10" s="69"/>
      <c r="AN10" s="49"/>
      <c r="AO10" s="49" t="s">
        <v>601</v>
      </c>
      <c r="AP10" s="50" t="s">
        <v>599</v>
      </c>
      <c r="AQ10" s="41"/>
      <c r="AS10" s="49"/>
      <c r="AT10" s="49" t="s">
        <v>703</v>
      </c>
      <c r="AU10" s="96" t="s">
        <v>602</v>
      </c>
      <c r="AV10" s="51" t="s">
        <v>787</v>
      </c>
      <c r="BC10" s="49"/>
      <c r="BD10" s="49" t="s">
        <v>105</v>
      </c>
      <c r="BE10" s="50" t="s">
        <v>599</v>
      </c>
      <c r="BF10" s="41"/>
      <c r="BH10" s="49"/>
      <c r="BI10" s="49" t="s">
        <v>616</v>
      </c>
      <c r="BJ10" s="50" t="s">
        <v>599</v>
      </c>
      <c r="BK10" s="41"/>
      <c r="BM10" s="49"/>
      <c r="BN10" s="49" t="s">
        <v>616</v>
      </c>
      <c r="BO10" s="50" t="s">
        <v>599</v>
      </c>
      <c r="BP10" s="41"/>
      <c r="BR10" s="49"/>
      <c r="BS10" s="49" t="s">
        <v>618</v>
      </c>
      <c r="BT10" s="50" t="s">
        <v>599</v>
      </c>
      <c r="BU10" s="41"/>
      <c r="CL10" s="49"/>
      <c r="CM10" s="49" t="s">
        <v>621</v>
      </c>
      <c r="CN10" s="96" t="s">
        <v>602</v>
      </c>
      <c r="CO10" s="41" t="s">
        <v>951</v>
      </c>
      <c r="CQ10" s="49"/>
      <c r="CR10" s="49" t="s">
        <v>630</v>
      </c>
      <c r="CS10" s="96" t="s">
        <v>602</v>
      </c>
      <c r="CT10" s="41" t="s">
        <v>967</v>
      </c>
      <c r="CV10" s="49"/>
      <c r="CW10" s="49" t="s">
        <v>621</v>
      </c>
      <c r="CX10" s="50" t="s">
        <v>599</v>
      </c>
      <c r="CY10" s="41"/>
      <c r="DF10" s="49"/>
      <c r="DG10" s="49" t="s">
        <v>628</v>
      </c>
      <c r="DH10" s="96" t="s">
        <v>602</v>
      </c>
      <c r="DI10" s="51" t="s">
        <v>1011</v>
      </c>
    </row>
    <row r="11" spans="1:123">
      <c r="A11" s="50"/>
      <c r="B11" s="50" t="s">
        <v>598</v>
      </c>
      <c r="C11" s="50" t="s">
        <v>599</v>
      </c>
      <c r="D11" s="42"/>
      <c r="F11" s="58"/>
      <c r="G11" s="58" t="s">
        <v>619</v>
      </c>
      <c r="H11" s="59" t="s">
        <v>599</v>
      </c>
      <c r="I11" s="53"/>
      <c r="P11" s="67"/>
      <c r="Q11" s="67" t="s">
        <v>620</v>
      </c>
      <c r="R11" s="95" t="s">
        <v>602</v>
      </c>
      <c r="S11" s="62" t="s">
        <v>671</v>
      </c>
      <c r="U11" s="75"/>
      <c r="V11" s="75" t="s">
        <v>620</v>
      </c>
      <c r="W11" s="95" t="s">
        <v>602</v>
      </c>
      <c r="X11" s="61" t="s">
        <v>682</v>
      </c>
      <c r="Z11" s="49"/>
      <c r="AA11" s="49" t="s">
        <v>620</v>
      </c>
      <c r="AB11" s="96" t="s">
        <v>602</v>
      </c>
      <c r="AC11" s="42" t="s">
        <v>692</v>
      </c>
      <c r="AE11" s="68"/>
      <c r="AF11" s="68" t="s">
        <v>617</v>
      </c>
      <c r="AG11" s="79" t="s">
        <v>599</v>
      </c>
      <c r="AH11" s="80"/>
      <c r="AN11" s="49"/>
      <c r="AO11" s="49" t="s">
        <v>705</v>
      </c>
      <c r="AP11" s="96" t="s">
        <v>602</v>
      </c>
      <c r="AQ11" s="43" t="s">
        <v>774</v>
      </c>
      <c r="AS11" s="49"/>
      <c r="AT11" s="49" t="s">
        <v>80</v>
      </c>
      <c r="AU11" s="50" t="s">
        <v>599</v>
      </c>
      <c r="AV11" s="43" t="s">
        <v>693</v>
      </c>
      <c r="BC11" s="49"/>
      <c r="BD11" s="49" t="s">
        <v>842</v>
      </c>
      <c r="BE11" s="50" t="s">
        <v>599</v>
      </c>
      <c r="BF11" s="42"/>
      <c r="BH11" s="49"/>
      <c r="BI11" s="49" t="s">
        <v>617</v>
      </c>
      <c r="BJ11" s="50" t="s">
        <v>599</v>
      </c>
      <c r="BK11" s="42"/>
      <c r="BM11" s="49"/>
      <c r="BN11" s="49" t="s">
        <v>2072</v>
      </c>
      <c r="BO11" s="50" t="s">
        <v>599</v>
      </c>
      <c r="BP11" s="42"/>
      <c r="BR11" s="49"/>
      <c r="BS11" s="49" t="s">
        <v>619</v>
      </c>
      <c r="BT11" s="50" t="s">
        <v>599</v>
      </c>
      <c r="BU11" s="42"/>
      <c r="CL11" s="49"/>
      <c r="CM11" s="49" t="s">
        <v>625</v>
      </c>
      <c r="CN11" s="50" t="s">
        <v>599</v>
      </c>
      <c r="CO11" s="42"/>
      <c r="CQ11" s="49"/>
      <c r="CR11" s="49" t="s">
        <v>649</v>
      </c>
      <c r="CS11" s="50" t="s">
        <v>599</v>
      </c>
      <c r="CT11" s="44" t="s">
        <v>969</v>
      </c>
      <c r="CV11" s="49"/>
      <c r="CW11" s="49" t="s">
        <v>639</v>
      </c>
      <c r="CX11" s="96" t="s">
        <v>602</v>
      </c>
      <c r="CY11" s="43" t="s">
        <v>976</v>
      </c>
      <c r="DF11" s="49"/>
      <c r="DG11" s="49" t="s">
        <v>265</v>
      </c>
      <c r="DH11" s="96" t="s">
        <v>602</v>
      </c>
      <c r="DI11" s="45" t="s">
        <v>977</v>
      </c>
    </row>
    <row r="12" spans="1:123">
      <c r="A12" s="49"/>
      <c r="B12" s="49" t="s">
        <v>601</v>
      </c>
      <c r="C12" s="50" t="s">
        <v>599</v>
      </c>
      <c r="D12" s="41"/>
      <c r="F12" s="59"/>
      <c r="G12" s="59" t="s">
        <v>598</v>
      </c>
      <c r="H12" s="59" t="s">
        <v>599</v>
      </c>
      <c r="I12" s="54"/>
      <c r="P12" s="67"/>
      <c r="Q12" s="67" t="s">
        <v>621</v>
      </c>
      <c r="R12" s="95" t="s">
        <v>602</v>
      </c>
      <c r="S12" s="61" t="s">
        <v>671</v>
      </c>
      <c r="U12" s="75"/>
      <c r="V12" s="75" t="s">
        <v>143</v>
      </c>
      <c r="W12" s="77" t="s">
        <v>599</v>
      </c>
      <c r="X12" s="62"/>
      <c r="Z12" s="49"/>
      <c r="AA12" s="49" t="s">
        <v>143</v>
      </c>
      <c r="AB12" s="50" t="s">
        <v>599</v>
      </c>
      <c r="AC12" s="51" t="s">
        <v>693</v>
      </c>
      <c r="AE12" s="68"/>
      <c r="AF12" s="68" t="s">
        <v>618</v>
      </c>
      <c r="AG12" s="79" t="s">
        <v>599</v>
      </c>
      <c r="AH12" s="69"/>
      <c r="AN12" s="49"/>
      <c r="AO12" s="49" t="s">
        <v>620</v>
      </c>
      <c r="AP12" s="50" t="s">
        <v>599</v>
      </c>
      <c r="AQ12" s="41"/>
      <c r="AS12" s="49"/>
      <c r="AT12" s="49" t="s">
        <v>718</v>
      </c>
      <c r="AU12" s="96" t="s">
        <v>602</v>
      </c>
      <c r="AV12" s="51" t="s">
        <v>788</v>
      </c>
      <c r="BC12" s="49"/>
      <c r="BD12" s="49" t="s">
        <v>843</v>
      </c>
      <c r="BE12" s="50" t="s">
        <v>599</v>
      </c>
      <c r="BF12" s="41" t="s">
        <v>844</v>
      </c>
      <c r="BH12" s="49"/>
      <c r="BI12" s="49" t="s">
        <v>618</v>
      </c>
      <c r="BJ12" s="50" t="s">
        <v>599</v>
      </c>
      <c r="BK12" s="41"/>
      <c r="BM12" s="49"/>
      <c r="BN12" s="49" t="s">
        <v>618</v>
      </c>
      <c r="BO12" s="50" t="s">
        <v>599</v>
      </c>
      <c r="BP12" s="41"/>
      <c r="BR12" s="50"/>
      <c r="BS12" s="50" t="s">
        <v>598</v>
      </c>
      <c r="BT12" s="50" t="s">
        <v>599</v>
      </c>
      <c r="BU12" s="41"/>
      <c r="CL12" s="49"/>
      <c r="CM12" s="49" t="s">
        <v>649</v>
      </c>
      <c r="CN12" s="96" t="s">
        <v>602</v>
      </c>
      <c r="CO12" s="45" t="s">
        <v>952</v>
      </c>
      <c r="CV12" s="49"/>
      <c r="CW12" s="49" t="s">
        <v>231</v>
      </c>
      <c r="CX12" s="50" t="s">
        <v>599</v>
      </c>
      <c r="CY12" s="41"/>
    </row>
    <row r="13" spans="1:123">
      <c r="A13" s="49"/>
      <c r="B13" s="49" t="s">
        <v>620</v>
      </c>
      <c r="C13" s="50" t="s">
        <v>599</v>
      </c>
      <c r="D13" s="42"/>
      <c r="F13" s="58"/>
      <c r="G13" s="58" t="s">
        <v>601</v>
      </c>
      <c r="H13" s="59" t="s">
        <v>599</v>
      </c>
      <c r="I13" s="53"/>
      <c r="P13" s="67"/>
      <c r="Q13" s="67" t="s">
        <v>639</v>
      </c>
      <c r="R13" s="77" t="s">
        <v>599</v>
      </c>
      <c r="S13" s="64" t="s">
        <v>672</v>
      </c>
      <c r="U13" s="75"/>
      <c r="V13" s="75" t="s">
        <v>621</v>
      </c>
      <c r="W13" s="77" t="s">
        <v>599</v>
      </c>
      <c r="X13" s="61"/>
      <c r="Z13" s="49"/>
      <c r="AA13" s="49" t="s">
        <v>621</v>
      </c>
      <c r="AB13" s="50" t="s">
        <v>599</v>
      </c>
      <c r="AC13" s="42"/>
      <c r="AE13" s="68"/>
      <c r="AF13" s="68" t="s">
        <v>619</v>
      </c>
      <c r="AG13" s="79" t="s">
        <v>599</v>
      </c>
      <c r="AH13" s="80"/>
      <c r="AN13" s="49"/>
      <c r="AO13" s="49" t="s">
        <v>143</v>
      </c>
      <c r="AP13" s="50" t="s">
        <v>599</v>
      </c>
      <c r="AQ13" s="43" t="s">
        <v>775</v>
      </c>
      <c r="AS13" s="49"/>
      <c r="AT13" s="49" t="s">
        <v>636</v>
      </c>
      <c r="AU13" s="50" t="s">
        <v>599</v>
      </c>
      <c r="AV13" s="42"/>
      <c r="BC13" s="49"/>
      <c r="BD13" s="49" t="s">
        <v>142</v>
      </c>
      <c r="BE13" s="50" t="s">
        <v>599</v>
      </c>
      <c r="BF13" s="42"/>
      <c r="BH13" s="49"/>
      <c r="BI13" s="49" t="s">
        <v>619</v>
      </c>
      <c r="BJ13" s="50" t="s">
        <v>599</v>
      </c>
      <c r="BK13" s="42"/>
      <c r="BM13" s="49"/>
      <c r="BN13" s="49" t="s">
        <v>619</v>
      </c>
      <c r="BO13" s="50" t="s">
        <v>599</v>
      </c>
      <c r="BP13" s="42"/>
      <c r="BR13" s="49"/>
      <c r="BS13" s="49" t="s">
        <v>601</v>
      </c>
      <c r="BT13" s="50" t="s">
        <v>599</v>
      </c>
      <c r="BU13" s="42"/>
      <c r="CV13" s="49"/>
      <c r="CW13" s="49" t="s">
        <v>625</v>
      </c>
      <c r="CX13" s="50" t="s">
        <v>599</v>
      </c>
      <c r="CY13" s="42"/>
    </row>
    <row r="14" spans="1:123">
      <c r="A14" s="49"/>
      <c r="B14" s="49" t="s">
        <v>621</v>
      </c>
      <c r="C14" s="50" t="s">
        <v>599</v>
      </c>
      <c r="D14" s="41"/>
      <c r="F14" s="58"/>
      <c r="G14" s="58" t="s">
        <v>620</v>
      </c>
      <c r="H14" s="59" t="s">
        <v>599</v>
      </c>
      <c r="I14" s="54"/>
      <c r="P14" s="67"/>
      <c r="Q14" s="67" t="s">
        <v>171</v>
      </c>
      <c r="R14" s="77" t="s">
        <v>599</v>
      </c>
      <c r="S14" s="61"/>
      <c r="U14" s="75"/>
      <c r="V14" s="75" t="s">
        <v>639</v>
      </c>
      <c r="W14" s="77" t="s">
        <v>599</v>
      </c>
      <c r="X14" s="62"/>
      <c r="Z14" s="49"/>
      <c r="AA14" s="49" t="s">
        <v>639</v>
      </c>
      <c r="AB14" s="50" t="s">
        <v>599</v>
      </c>
      <c r="AC14" s="41"/>
      <c r="AE14" s="79"/>
      <c r="AF14" s="79" t="s">
        <v>598</v>
      </c>
      <c r="AG14" s="79" t="s">
        <v>599</v>
      </c>
      <c r="AH14" s="69"/>
      <c r="AN14" s="49"/>
      <c r="AO14" s="49" t="s">
        <v>621</v>
      </c>
      <c r="AP14" s="50" t="s">
        <v>599</v>
      </c>
      <c r="AQ14" s="41"/>
      <c r="AS14" s="49"/>
      <c r="AT14" s="49" t="s">
        <v>105</v>
      </c>
      <c r="AU14" s="50" t="s">
        <v>599</v>
      </c>
      <c r="AV14" s="41"/>
      <c r="BC14" s="49"/>
      <c r="BD14" s="49" t="s">
        <v>845</v>
      </c>
      <c r="BE14" s="50" t="s">
        <v>599</v>
      </c>
      <c r="BF14" s="41"/>
      <c r="BH14" s="50"/>
      <c r="BI14" s="50" t="s">
        <v>598</v>
      </c>
      <c r="BJ14" s="50" t="s">
        <v>599</v>
      </c>
      <c r="BK14" s="41"/>
      <c r="BM14" s="50"/>
      <c r="BN14" s="50" t="s">
        <v>598</v>
      </c>
      <c r="BO14" s="50" t="s">
        <v>599</v>
      </c>
      <c r="BP14" s="41"/>
      <c r="BR14" s="49"/>
      <c r="BS14" s="49" t="s">
        <v>620</v>
      </c>
      <c r="BT14" s="50" t="s">
        <v>599</v>
      </c>
      <c r="BU14" s="41"/>
      <c r="CV14" s="49"/>
      <c r="CW14" s="49" t="s">
        <v>630</v>
      </c>
      <c r="CX14" s="50" t="s">
        <v>599</v>
      </c>
      <c r="CY14" s="41"/>
    </row>
    <row r="15" spans="1:123">
      <c r="A15" s="49"/>
      <c r="B15" s="49" t="s">
        <v>622</v>
      </c>
      <c r="C15" s="96" t="s">
        <v>602</v>
      </c>
      <c r="D15" s="43" t="s">
        <v>623</v>
      </c>
      <c r="F15" s="58"/>
      <c r="G15" s="58" t="s">
        <v>143</v>
      </c>
      <c r="H15" s="59" t="s">
        <v>599</v>
      </c>
      <c r="I15" s="53"/>
      <c r="P15" s="67"/>
      <c r="Q15" s="67" t="s">
        <v>231</v>
      </c>
      <c r="R15" s="77" t="s">
        <v>599</v>
      </c>
      <c r="S15" s="62"/>
      <c r="U15" s="75"/>
      <c r="V15" s="75" t="s">
        <v>171</v>
      </c>
      <c r="W15" s="77" t="s">
        <v>599</v>
      </c>
      <c r="X15" s="61"/>
      <c r="Z15" s="49"/>
      <c r="AA15" s="49" t="s">
        <v>171</v>
      </c>
      <c r="AB15" s="50" t="s">
        <v>599</v>
      </c>
      <c r="AC15" s="42"/>
      <c r="AE15" s="68"/>
      <c r="AF15" s="68" t="s">
        <v>601</v>
      </c>
      <c r="AG15" s="79" t="s">
        <v>599</v>
      </c>
      <c r="AH15" s="80"/>
      <c r="AN15" s="49"/>
      <c r="AO15" s="49" t="s">
        <v>639</v>
      </c>
      <c r="AP15" s="50" t="s">
        <v>599</v>
      </c>
      <c r="AQ15" s="42"/>
      <c r="AS15" s="49"/>
      <c r="AT15" s="49" t="s">
        <v>789</v>
      </c>
      <c r="AU15" s="50" t="s">
        <v>599</v>
      </c>
      <c r="AV15" s="43" t="s">
        <v>790</v>
      </c>
      <c r="BC15" s="49"/>
      <c r="BD15" s="49" t="s">
        <v>143</v>
      </c>
      <c r="BE15" s="50" t="s">
        <v>599</v>
      </c>
      <c r="BF15" s="44"/>
      <c r="BH15" s="49"/>
      <c r="BI15" s="49" t="s">
        <v>601</v>
      </c>
      <c r="BJ15" s="50" t="s">
        <v>599</v>
      </c>
      <c r="BK15" s="42"/>
      <c r="BM15" s="49"/>
      <c r="BN15" s="49" t="s">
        <v>601</v>
      </c>
      <c r="BO15" s="50" t="s">
        <v>599</v>
      </c>
      <c r="BP15" s="42"/>
      <c r="BR15" s="49"/>
      <c r="BS15" s="49" t="s">
        <v>143</v>
      </c>
      <c r="BT15" s="50" t="s">
        <v>599</v>
      </c>
      <c r="BU15" s="43" t="s">
        <v>798</v>
      </c>
      <c r="CV15" s="49"/>
      <c r="CW15" s="49" t="s">
        <v>302</v>
      </c>
      <c r="CX15" s="96" t="s">
        <v>602</v>
      </c>
      <c r="CY15" s="43" t="s">
        <v>977</v>
      </c>
    </row>
    <row r="16" spans="1:123">
      <c r="A16" s="49"/>
      <c r="B16" s="49" t="s">
        <v>197</v>
      </c>
      <c r="C16" s="50" t="s">
        <v>599</v>
      </c>
      <c r="D16" s="41"/>
      <c r="F16" s="58"/>
      <c r="G16" s="58" t="s">
        <v>621</v>
      </c>
      <c r="H16" s="59" t="s">
        <v>599</v>
      </c>
      <c r="I16" s="54"/>
      <c r="P16" s="67"/>
      <c r="Q16" s="67" t="s">
        <v>625</v>
      </c>
      <c r="R16" s="77" t="s">
        <v>599</v>
      </c>
      <c r="S16" s="61"/>
      <c r="U16" s="75"/>
      <c r="V16" s="75" t="s">
        <v>622</v>
      </c>
      <c r="W16" s="95" t="s">
        <v>602</v>
      </c>
      <c r="X16" s="62" t="s">
        <v>683</v>
      </c>
      <c r="Z16" s="49"/>
      <c r="AA16" s="49" t="s">
        <v>172</v>
      </c>
      <c r="AB16" s="50" t="s">
        <v>599</v>
      </c>
      <c r="AC16" s="51" t="s">
        <v>694</v>
      </c>
      <c r="AE16" s="68"/>
      <c r="AF16" s="68" t="s">
        <v>705</v>
      </c>
      <c r="AG16" s="100" t="s">
        <v>602</v>
      </c>
      <c r="AH16" s="69" t="s">
        <v>706</v>
      </c>
      <c r="AN16" s="49"/>
      <c r="AO16" s="49" t="s">
        <v>171</v>
      </c>
      <c r="AP16" s="50" t="s">
        <v>599</v>
      </c>
      <c r="AQ16" s="41"/>
      <c r="AS16" s="49"/>
      <c r="AT16" s="49" t="s">
        <v>637</v>
      </c>
      <c r="AU16" s="50" t="s">
        <v>599</v>
      </c>
      <c r="AV16" s="41"/>
      <c r="BC16" s="49"/>
      <c r="BD16" s="49" t="s">
        <v>172</v>
      </c>
      <c r="BE16" s="50" t="s">
        <v>599</v>
      </c>
      <c r="BF16" s="41"/>
      <c r="BH16" s="49"/>
      <c r="BI16" s="49" t="s">
        <v>620</v>
      </c>
      <c r="BJ16" s="50" t="s">
        <v>599</v>
      </c>
      <c r="BK16" s="41"/>
      <c r="BM16" s="49"/>
      <c r="BN16" s="49" t="s">
        <v>620</v>
      </c>
      <c r="BO16" s="50" t="s">
        <v>599</v>
      </c>
      <c r="BP16" s="41"/>
      <c r="BR16" s="49"/>
      <c r="BS16" s="49" t="s">
        <v>621</v>
      </c>
      <c r="BT16" s="50" t="s">
        <v>599</v>
      </c>
      <c r="BU16" s="41"/>
    </row>
    <row r="17" spans="1:73">
      <c r="A17" s="49"/>
      <c r="B17" s="49" t="s">
        <v>198</v>
      </c>
      <c r="C17" s="50" t="s">
        <v>599</v>
      </c>
      <c r="D17" s="42"/>
      <c r="F17" s="58"/>
      <c r="G17" s="58" t="s">
        <v>639</v>
      </c>
      <c r="H17" s="59" t="s">
        <v>599</v>
      </c>
      <c r="I17" s="53"/>
      <c r="P17" s="67"/>
      <c r="Q17" s="67" t="s">
        <v>626</v>
      </c>
      <c r="R17" s="95" t="s">
        <v>602</v>
      </c>
      <c r="S17" s="64" t="s">
        <v>673</v>
      </c>
      <c r="U17" s="75"/>
      <c r="V17" s="75" t="s">
        <v>229</v>
      </c>
      <c r="W17" s="77" t="s">
        <v>599</v>
      </c>
      <c r="X17" s="61"/>
      <c r="Z17" s="49"/>
      <c r="AA17" s="49" t="s">
        <v>231</v>
      </c>
      <c r="AB17" s="50" t="s">
        <v>599</v>
      </c>
      <c r="AC17" s="42"/>
      <c r="AE17" s="68"/>
      <c r="AF17" s="68" t="s">
        <v>620</v>
      </c>
      <c r="AG17" s="79" t="s">
        <v>599</v>
      </c>
      <c r="AH17" s="80"/>
      <c r="AN17" s="49"/>
      <c r="AO17" s="49" t="s">
        <v>622</v>
      </c>
      <c r="AP17" s="50" t="s">
        <v>599</v>
      </c>
      <c r="AQ17" s="43" t="s">
        <v>776</v>
      </c>
      <c r="AS17" s="49"/>
      <c r="AT17" s="49" t="s">
        <v>791</v>
      </c>
      <c r="AU17" s="96" t="s">
        <v>602</v>
      </c>
      <c r="AV17" s="43" t="s">
        <v>792</v>
      </c>
      <c r="BC17" s="49"/>
      <c r="BD17" s="49" t="s">
        <v>173</v>
      </c>
      <c r="BE17" s="50" t="s">
        <v>599</v>
      </c>
      <c r="BF17" s="42"/>
      <c r="BH17" s="49"/>
      <c r="BI17" s="49" t="s">
        <v>621</v>
      </c>
      <c r="BJ17" s="50" t="s">
        <v>599</v>
      </c>
      <c r="BK17" s="42"/>
      <c r="BM17" s="49"/>
      <c r="BN17" s="49" t="s">
        <v>725</v>
      </c>
      <c r="BO17" s="50" t="s">
        <v>599</v>
      </c>
      <c r="BP17" s="43" t="s">
        <v>875</v>
      </c>
      <c r="BR17" s="49"/>
      <c r="BS17" s="49" t="s">
        <v>639</v>
      </c>
      <c r="BT17" s="96" t="s">
        <v>602</v>
      </c>
      <c r="BU17" s="42" t="s">
        <v>894</v>
      </c>
    </row>
    <row r="18" spans="1:73" ht="38.25">
      <c r="A18" s="49"/>
      <c r="B18" s="49" t="s">
        <v>624</v>
      </c>
      <c r="C18" s="50" t="s">
        <v>599</v>
      </c>
      <c r="D18" s="41"/>
      <c r="F18" s="58"/>
      <c r="G18" s="58" t="s">
        <v>640</v>
      </c>
      <c r="H18" s="99" t="s">
        <v>602</v>
      </c>
      <c r="I18" s="56" t="s">
        <v>641</v>
      </c>
      <c r="P18" s="67"/>
      <c r="Q18" s="67" t="s">
        <v>606</v>
      </c>
      <c r="R18" s="95" t="s">
        <v>602</v>
      </c>
      <c r="S18" s="61" t="s">
        <v>674</v>
      </c>
      <c r="U18" s="75"/>
      <c r="V18" s="75" t="s">
        <v>231</v>
      </c>
      <c r="W18" s="77" t="s">
        <v>599</v>
      </c>
      <c r="X18" s="62"/>
      <c r="Z18" s="49"/>
      <c r="AA18" s="49" t="s">
        <v>695</v>
      </c>
      <c r="AB18" s="96" t="s">
        <v>602</v>
      </c>
      <c r="AC18" s="41" t="s">
        <v>696</v>
      </c>
      <c r="AE18" s="68"/>
      <c r="AF18" s="68" t="s">
        <v>143</v>
      </c>
      <c r="AG18" s="79" t="s">
        <v>599</v>
      </c>
      <c r="AH18" s="69"/>
      <c r="AN18" s="49"/>
      <c r="AO18" s="49" t="s">
        <v>229</v>
      </c>
      <c r="AP18" s="50" t="s">
        <v>599</v>
      </c>
      <c r="AQ18" s="41"/>
      <c r="AS18" s="49"/>
      <c r="AT18" s="49" t="s">
        <v>616</v>
      </c>
      <c r="AU18" s="50" t="s">
        <v>599</v>
      </c>
      <c r="AV18" s="41"/>
      <c r="BC18" s="49"/>
      <c r="BD18" s="49" t="s">
        <v>197</v>
      </c>
      <c r="BE18" s="50" t="s">
        <v>599</v>
      </c>
      <c r="BF18" s="41"/>
      <c r="BH18" s="49"/>
      <c r="BI18" s="49" t="s">
        <v>639</v>
      </c>
      <c r="BJ18" s="50" t="s">
        <v>599</v>
      </c>
      <c r="BK18" s="41"/>
      <c r="BM18" s="49"/>
      <c r="BN18" s="49" t="s">
        <v>621</v>
      </c>
      <c r="BO18" s="50" t="s">
        <v>599</v>
      </c>
      <c r="BP18" s="41"/>
      <c r="BR18" s="49"/>
      <c r="BS18" s="49" t="s">
        <v>171</v>
      </c>
      <c r="BT18" s="50" t="s">
        <v>599</v>
      </c>
      <c r="BU18" s="41"/>
    </row>
    <row r="19" spans="1:73" ht="38.25">
      <c r="A19" s="49"/>
      <c r="B19" s="49" t="s">
        <v>231</v>
      </c>
      <c r="C19" s="50" t="s">
        <v>599</v>
      </c>
      <c r="D19" s="42"/>
      <c r="F19" s="58"/>
      <c r="G19" s="58" t="s">
        <v>171</v>
      </c>
      <c r="H19" s="99" t="s">
        <v>602</v>
      </c>
      <c r="I19" s="53" t="s">
        <v>642</v>
      </c>
      <c r="P19" s="67"/>
      <c r="Q19" s="67" t="s">
        <v>647</v>
      </c>
      <c r="R19" s="77" t="s">
        <v>599</v>
      </c>
      <c r="S19" s="62"/>
      <c r="U19" s="75"/>
      <c r="V19" s="75" t="s">
        <v>625</v>
      </c>
      <c r="W19" s="77" t="s">
        <v>599</v>
      </c>
      <c r="X19" s="61"/>
      <c r="Z19" s="49"/>
      <c r="AA19" s="49" t="s">
        <v>625</v>
      </c>
      <c r="AB19" s="50" t="s">
        <v>599</v>
      </c>
      <c r="AC19" s="42"/>
      <c r="AE19" s="68"/>
      <c r="AF19" s="68" t="s">
        <v>621</v>
      </c>
      <c r="AG19" s="79" t="s">
        <v>599</v>
      </c>
      <c r="AH19" s="80"/>
      <c r="AN19" s="49"/>
      <c r="AO19" s="49" t="s">
        <v>644</v>
      </c>
      <c r="AP19" s="50" t="s">
        <v>599</v>
      </c>
      <c r="AQ19" s="43" t="s">
        <v>777</v>
      </c>
      <c r="AS19" s="49"/>
      <c r="AT19" s="49" t="s">
        <v>617</v>
      </c>
      <c r="AU19" s="50" t="s">
        <v>599</v>
      </c>
      <c r="AV19" s="42"/>
      <c r="BC19" s="49"/>
      <c r="BD19" s="49" t="s">
        <v>846</v>
      </c>
      <c r="BE19" s="50" t="s">
        <v>599</v>
      </c>
      <c r="BF19" s="42" t="s">
        <v>847</v>
      </c>
      <c r="BH19" s="49"/>
      <c r="BI19" s="49" t="s">
        <v>640</v>
      </c>
      <c r="BJ19" s="50" t="s">
        <v>599</v>
      </c>
      <c r="BK19" s="43" t="s">
        <v>861</v>
      </c>
      <c r="BM19" s="49"/>
      <c r="BN19" s="49" t="s">
        <v>639</v>
      </c>
      <c r="BO19" s="50" t="s">
        <v>599</v>
      </c>
      <c r="BP19" s="42"/>
      <c r="BR19" s="49"/>
      <c r="BS19" s="49" t="s">
        <v>622</v>
      </c>
      <c r="BT19" s="96" t="s">
        <v>602</v>
      </c>
      <c r="BU19" s="43" t="s">
        <v>895</v>
      </c>
    </row>
    <row r="20" spans="1:73">
      <c r="A20" s="49"/>
      <c r="B20" s="49" t="s">
        <v>625</v>
      </c>
      <c r="C20" s="50" t="s">
        <v>599</v>
      </c>
      <c r="D20" s="41"/>
      <c r="F20" s="58"/>
      <c r="G20" s="58" t="s">
        <v>643</v>
      </c>
      <c r="H20" s="59" t="s">
        <v>599</v>
      </c>
      <c r="I20" s="54"/>
      <c r="P20" s="67"/>
      <c r="Q20" s="67" t="s">
        <v>630</v>
      </c>
      <c r="R20" s="77" t="s">
        <v>599</v>
      </c>
      <c r="S20" s="61"/>
      <c r="U20" s="75"/>
      <c r="V20" s="75" t="s">
        <v>626</v>
      </c>
      <c r="W20" s="77" t="s">
        <v>599</v>
      </c>
      <c r="X20" s="64" t="s">
        <v>684</v>
      </c>
      <c r="Z20" s="49"/>
      <c r="AA20" s="49" t="s">
        <v>626</v>
      </c>
      <c r="AB20" s="96" t="s">
        <v>602</v>
      </c>
      <c r="AC20" s="51" t="s">
        <v>697</v>
      </c>
      <c r="AE20" s="68"/>
      <c r="AF20" s="68" t="s">
        <v>639</v>
      </c>
      <c r="AG20" s="79" t="s">
        <v>599</v>
      </c>
      <c r="AH20" s="69"/>
      <c r="AN20" s="49"/>
      <c r="AO20" s="49" t="s">
        <v>231</v>
      </c>
      <c r="AP20" s="50" t="s">
        <v>599</v>
      </c>
      <c r="AQ20" s="41"/>
      <c r="AS20" s="49"/>
      <c r="AT20" s="49" t="s">
        <v>618</v>
      </c>
      <c r="AU20" s="50" t="s">
        <v>599</v>
      </c>
      <c r="AV20" s="41"/>
      <c r="BC20" s="49"/>
      <c r="BD20" s="49" t="s">
        <v>802</v>
      </c>
      <c r="BE20" s="96" t="s">
        <v>602</v>
      </c>
      <c r="BF20" s="41" t="s">
        <v>848</v>
      </c>
      <c r="BH20" s="49"/>
      <c r="BI20" s="49" t="s">
        <v>171</v>
      </c>
      <c r="BJ20" s="50" t="s">
        <v>599</v>
      </c>
      <c r="BK20" s="41"/>
      <c r="BM20" s="49"/>
      <c r="BN20" s="49" t="s">
        <v>640</v>
      </c>
      <c r="BO20" s="50" t="s">
        <v>599</v>
      </c>
      <c r="BP20" s="41" t="s">
        <v>876</v>
      </c>
      <c r="BR20" s="49"/>
      <c r="BS20" s="49" t="s">
        <v>643</v>
      </c>
      <c r="BT20" s="50" t="s">
        <v>599</v>
      </c>
      <c r="BU20" s="41"/>
    </row>
    <row r="21" spans="1:73">
      <c r="A21" s="49"/>
      <c r="B21" s="49" t="s">
        <v>626</v>
      </c>
      <c r="C21" s="50" t="s">
        <v>599</v>
      </c>
      <c r="D21" s="42"/>
      <c r="F21" s="58"/>
      <c r="G21" s="58" t="s">
        <v>229</v>
      </c>
      <c r="H21" s="59" t="s">
        <v>599</v>
      </c>
      <c r="I21" s="53"/>
      <c r="P21" s="67"/>
      <c r="Q21" s="67" t="s">
        <v>302</v>
      </c>
      <c r="R21" s="77" t="s">
        <v>599</v>
      </c>
      <c r="S21" s="64" t="s">
        <v>675</v>
      </c>
      <c r="U21" s="75"/>
      <c r="V21" s="75" t="s">
        <v>606</v>
      </c>
      <c r="W21" s="77" t="s">
        <v>599</v>
      </c>
      <c r="X21" s="61"/>
      <c r="Z21" s="49"/>
      <c r="AA21" s="49" t="s">
        <v>606</v>
      </c>
      <c r="AB21" s="96" t="s">
        <v>602</v>
      </c>
      <c r="AC21" s="42" t="s">
        <v>698</v>
      </c>
      <c r="AE21" s="68"/>
      <c r="AF21" s="68" t="s">
        <v>171</v>
      </c>
      <c r="AG21" s="79" t="s">
        <v>599</v>
      </c>
      <c r="AH21" s="80"/>
      <c r="AN21" s="49"/>
      <c r="AO21" s="49" t="s">
        <v>645</v>
      </c>
      <c r="AP21" s="50" t="s">
        <v>599</v>
      </c>
      <c r="AQ21" s="42"/>
      <c r="AS21" s="49"/>
      <c r="AT21" s="49" t="s">
        <v>619</v>
      </c>
      <c r="AU21" s="50" t="s">
        <v>599</v>
      </c>
      <c r="AV21" s="42"/>
      <c r="BC21" s="49"/>
      <c r="BD21" s="49" t="s">
        <v>805</v>
      </c>
      <c r="BE21" s="96" t="s">
        <v>602</v>
      </c>
      <c r="BF21" s="43" t="s">
        <v>849</v>
      </c>
      <c r="BH21" s="49"/>
      <c r="BI21" s="49" t="s">
        <v>622</v>
      </c>
      <c r="BJ21" s="50" t="s">
        <v>599</v>
      </c>
      <c r="BK21" s="43" t="s">
        <v>862</v>
      </c>
      <c r="BM21" s="49"/>
      <c r="BN21" s="49" t="s">
        <v>171</v>
      </c>
      <c r="BO21" s="50" t="s">
        <v>599</v>
      </c>
      <c r="BP21" s="42"/>
      <c r="BR21" s="49"/>
      <c r="BS21" s="49" t="s">
        <v>644</v>
      </c>
      <c r="BT21" s="96" t="s">
        <v>602</v>
      </c>
      <c r="BU21" s="42" t="s">
        <v>896</v>
      </c>
    </row>
    <row r="22" spans="1:73">
      <c r="A22" s="49"/>
      <c r="B22" s="49" t="s">
        <v>606</v>
      </c>
      <c r="C22" s="50" t="s">
        <v>599</v>
      </c>
      <c r="D22" s="51" t="s">
        <v>627</v>
      </c>
      <c r="F22" s="58"/>
      <c r="G22" s="58" t="s">
        <v>644</v>
      </c>
      <c r="H22" s="59" t="s">
        <v>599</v>
      </c>
      <c r="I22" s="54"/>
      <c r="P22" s="67"/>
      <c r="Q22" s="67" t="s">
        <v>648</v>
      </c>
      <c r="R22" s="77" t="s">
        <v>599</v>
      </c>
      <c r="S22" s="60"/>
      <c r="U22" s="75"/>
      <c r="V22" s="75" t="s">
        <v>266</v>
      </c>
      <c r="W22" s="77" t="s">
        <v>599</v>
      </c>
      <c r="X22" s="62"/>
      <c r="Z22" s="49"/>
      <c r="AA22" s="49" t="s">
        <v>629</v>
      </c>
      <c r="AB22" s="50" t="s">
        <v>599</v>
      </c>
      <c r="AC22" s="41"/>
      <c r="AE22" s="68"/>
      <c r="AF22" s="68" t="s">
        <v>172</v>
      </c>
      <c r="AG22" s="79" t="s">
        <v>599</v>
      </c>
      <c r="AH22" s="81" t="s">
        <v>707</v>
      </c>
      <c r="AN22" s="49"/>
      <c r="AO22" s="49" t="s">
        <v>625</v>
      </c>
      <c r="AP22" s="50" t="s">
        <v>599</v>
      </c>
      <c r="AQ22" s="41"/>
      <c r="AS22" s="50"/>
      <c r="AT22" s="50" t="s">
        <v>598</v>
      </c>
      <c r="AU22" s="50" t="s">
        <v>599</v>
      </c>
      <c r="AV22" s="41"/>
      <c r="BC22" s="49"/>
      <c r="BD22" s="49" t="s">
        <v>850</v>
      </c>
      <c r="BE22" s="50" t="s">
        <v>599</v>
      </c>
      <c r="BF22" s="41"/>
      <c r="BH22" s="49"/>
      <c r="BI22" s="49" t="s">
        <v>643</v>
      </c>
      <c r="BJ22" s="50" t="s">
        <v>599</v>
      </c>
      <c r="BK22" s="41"/>
      <c r="BM22" s="49"/>
      <c r="BN22" s="49" t="s">
        <v>622</v>
      </c>
      <c r="BO22" s="50" t="s">
        <v>599</v>
      </c>
      <c r="BP22" s="51" t="s">
        <v>877</v>
      </c>
      <c r="BR22" s="49"/>
      <c r="BS22" s="49" t="s">
        <v>624</v>
      </c>
      <c r="BT22" s="50" t="s">
        <v>599</v>
      </c>
      <c r="BU22" s="41"/>
    </row>
    <row r="23" spans="1:73">
      <c r="A23" s="49"/>
      <c r="B23" s="49" t="s">
        <v>628</v>
      </c>
      <c r="C23" s="50" t="s">
        <v>599</v>
      </c>
      <c r="D23" s="44"/>
      <c r="F23" s="58"/>
      <c r="G23" s="58" t="s">
        <v>624</v>
      </c>
      <c r="H23" s="59" t="s">
        <v>599</v>
      </c>
      <c r="I23" s="53"/>
      <c r="U23" s="75"/>
      <c r="V23" s="75" t="s">
        <v>629</v>
      </c>
      <c r="W23" s="77" t="s">
        <v>599</v>
      </c>
      <c r="X23" s="63" t="s">
        <v>685</v>
      </c>
      <c r="Z23" s="49"/>
      <c r="AA23" s="49" t="s">
        <v>630</v>
      </c>
      <c r="AB23" s="50" t="s">
        <v>599</v>
      </c>
      <c r="AC23" s="42"/>
      <c r="AE23" s="68"/>
      <c r="AF23" s="68" t="s">
        <v>622</v>
      </c>
      <c r="AG23" s="79" t="s">
        <v>599</v>
      </c>
      <c r="AH23" s="82" t="s">
        <v>708</v>
      </c>
      <c r="AN23" s="49"/>
      <c r="AO23" s="49" t="s">
        <v>626</v>
      </c>
      <c r="AP23" s="50" t="s">
        <v>599</v>
      </c>
      <c r="AQ23" s="42"/>
      <c r="AS23" s="49"/>
      <c r="AT23" s="49" t="s">
        <v>601</v>
      </c>
      <c r="AU23" s="50" t="s">
        <v>599</v>
      </c>
      <c r="AV23" s="42"/>
      <c r="BC23" s="49"/>
      <c r="BD23" s="49" t="s">
        <v>851</v>
      </c>
      <c r="BE23" s="50" t="s">
        <v>599</v>
      </c>
      <c r="BF23" s="42"/>
      <c r="BH23" s="49"/>
      <c r="BI23" s="49" t="s">
        <v>796</v>
      </c>
      <c r="BJ23" s="50" t="s">
        <v>599</v>
      </c>
      <c r="BK23" s="43" t="s">
        <v>863</v>
      </c>
      <c r="BM23" s="49"/>
      <c r="BN23" s="49" t="s">
        <v>643</v>
      </c>
      <c r="BO23" s="50" t="s">
        <v>599</v>
      </c>
      <c r="BP23" s="42"/>
      <c r="BR23" s="49"/>
      <c r="BS23" s="49" t="s">
        <v>231</v>
      </c>
      <c r="BT23" s="50" t="s">
        <v>599</v>
      </c>
      <c r="BU23" s="42"/>
    </row>
    <row r="24" spans="1:73">
      <c r="A24" s="49"/>
      <c r="B24" s="49" t="s">
        <v>629</v>
      </c>
      <c r="C24" s="96" t="s">
        <v>602</v>
      </c>
      <c r="D24" s="41"/>
      <c r="F24" s="58"/>
      <c r="G24" s="58" t="s">
        <v>231</v>
      </c>
      <c r="H24" s="59" t="s">
        <v>599</v>
      </c>
      <c r="I24" s="54"/>
      <c r="U24" s="75"/>
      <c r="V24" s="75" t="s">
        <v>630</v>
      </c>
      <c r="W24" s="77" t="s">
        <v>599</v>
      </c>
      <c r="X24" s="62"/>
      <c r="Z24" s="49"/>
      <c r="AA24" s="49" t="s">
        <v>648</v>
      </c>
      <c r="AB24" s="50" t="s">
        <v>599</v>
      </c>
      <c r="AC24" s="41"/>
      <c r="AE24" s="68"/>
      <c r="AF24" s="68" t="s">
        <v>643</v>
      </c>
      <c r="AG24" s="79" t="s">
        <v>599</v>
      </c>
      <c r="AH24" s="69"/>
      <c r="AN24" s="49"/>
      <c r="AO24" s="49" t="s">
        <v>606</v>
      </c>
      <c r="AP24" s="50" t="s">
        <v>599</v>
      </c>
      <c r="AQ24" s="41"/>
      <c r="AS24" s="49"/>
      <c r="AT24" s="49" t="s">
        <v>142</v>
      </c>
      <c r="AU24" s="50" t="s">
        <v>599</v>
      </c>
      <c r="AV24" s="51" t="s">
        <v>775</v>
      </c>
      <c r="BC24" s="49"/>
      <c r="BD24" s="49" t="s">
        <v>852</v>
      </c>
      <c r="BE24" s="50" t="s">
        <v>599</v>
      </c>
      <c r="BF24" s="41"/>
      <c r="BH24" s="49"/>
      <c r="BI24" s="49" t="s">
        <v>644</v>
      </c>
      <c r="BJ24" s="50" t="s">
        <v>599</v>
      </c>
      <c r="BK24" s="41"/>
      <c r="BM24" s="49"/>
      <c r="BN24" s="49" t="s">
        <v>732</v>
      </c>
      <c r="BO24" s="50" t="s">
        <v>599</v>
      </c>
      <c r="BP24" s="41"/>
      <c r="BR24" s="49"/>
      <c r="BS24" s="49" t="s">
        <v>625</v>
      </c>
      <c r="BT24" s="50" t="s">
        <v>599</v>
      </c>
      <c r="BU24" s="41"/>
    </row>
    <row r="25" spans="1:73">
      <c r="A25" s="49"/>
      <c r="B25" s="49" t="s">
        <v>607</v>
      </c>
      <c r="C25" s="50" t="s">
        <v>599</v>
      </c>
      <c r="D25" s="42"/>
      <c r="F25" s="58"/>
      <c r="G25" s="58" t="s">
        <v>645</v>
      </c>
      <c r="H25" s="99" t="s">
        <v>602</v>
      </c>
      <c r="I25" s="53"/>
      <c r="U25" s="75"/>
      <c r="V25" s="75" t="s">
        <v>686</v>
      </c>
      <c r="W25" s="77" t="s">
        <v>599</v>
      </c>
      <c r="X25" s="63" t="s">
        <v>687</v>
      </c>
      <c r="AE25" s="68"/>
      <c r="AF25" s="68" t="s">
        <v>229</v>
      </c>
      <c r="AG25" s="79" t="s">
        <v>599</v>
      </c>
      <c r="AH25" s="80"/>
      <c r="AN25" s="49"/>
      <c r="AO25" s="49" t="s">
        <v>647</v>
      </c>
      <c r="AP25" s="50" t="s">
        <v>599</v>
      </c>
      <c r="AQ25" s="42"/>
      <c r="AS25" s="49"/>
      <c r="AT25" s="49" t="s">
        <v>705</v>
      </c>
      <c r="AU25" s="50" t="s">
        <v>599</v>
      </c>
      <c r="AV25" s="42"/>
      <c r="BC25" s="49"/>
      <c r="BD25" s="49" t="s">
        <v>628</v>
      </c>
      <c r="BE25" s="50" t="s">
        <v>599</v>
      </c>
      <c r="BF25" s="42"/>
      <c r="BH25" s="49"/>
      <c r="BI25" s="49" t="s">
        <v>231</v>
      </c>
      <c r="BJ25" s="50" t="s">
        <v>599</v>
      </c>
      <c r="BK25" s="42"/>
      <c r="BM25" s="49"/>
      <c r="BN25" s="49" t="s">
        <v>644</v>
      </c>
      <c r="BO25" s="50" t="s">
        <v>599</v>
      </c>
      <c r="BP25" s="42"/>
      <c r="BR25" s="49"/>
      <c r="BS25" s="49" t="s">
        <v>805</v>
      </c>
      <c r="BT25" s="50" t="s">
        <v>599</v>
      </c>
      <c r="BU25" s="42"/>
    </row>
    <row r="26" spans="1:73">
      <c r="A26" s="49"/>
      <c r="B26" s="49" t="s">
        <v>630</v>
      </c>
      <c r="C26" s="50" t="s">
        <v>599</v>
      </c>
      <c r="D26" s="41"/>
      <c r="F26" s="58"/>
      <c r="G26" s="58" t="s">
        <v>625</v>
      </c>
      <c r="H26" s="59" t="s">
        <v>599</v>
      </c>
      <c r="I26" s="54"/>
      <c r="U26" s="75"/>
      <c r="V26" s="75" t="s">
        <v>648</v>
      </c>
      <c r="W26" s="77" t="s">
        <v>599</v>
      </c>
      <c r="X26" s="60"/>
      <c r="AE26" s="68"/>
      <c r="AF26" s="68" t="s">
        <v>644</v>
      </c>
      <c r="AG26" s="79" t="s">
        <v>599</v>
      </c>
      <c r="AH26" s="69"/>
      <c r="AN26" s="49"/>
      <c r="AO26" s="49" t="s">
        <v>630</v>
      </c>
      <c r="AP26" s="50" t="s">
        <v>599</v>
      </c>
      <c r="AQ26" s="41"/>
      <c r="AS26" s="49"/>
      <c r="AT26" s="49" t="s">
        <v>620</v>
      </c>
      <c r="AU26" s="50" t="s">
        <v>599</v>
      </c>
      <c r="AV26" s="41"/>
      <c r="BC26" s="49"/>
      <c r="BD26" s="49" t="s">
        <v>812</v>
      </c>
      <c r="BE26" s="96" t="s">
        <v>602</v>
      </c>
      <c r="BF26" s="41" t="s">
        <v>853</v>
      </c>
      <c r="BH26" s="49"/>
      <c r="BI26" s="49" t="s">
        <v>645</v>
      </c>
      <c r="BJ26" s="50" t="s">
        <v>599</v>
      </c>
      <c r="BK26" s="41"/>
      <c r="BM26" s="49"/>
      <c r="BN26" s="49" t="s">
        <v>231</v>
      </c>
      <c r="BO26" s="50" t="s">
        <v>599</v>
      </c>
      <c r="BP26" s="41"/>
      <c r="BR26" s="49"/>
      <c r="BS26" s="49" t="s">
        <v>851</v>
      </c>
      <c r="BT26" s="50" t="s">
        <v>599</v>
      </c>
      <c r="BU26" s="41"/>
    </row>
    <row r="27" spans="1:73" ht="38.25">
      <c r="A27" s="49"/>
      <c r="B27" s="49" t="s">
        <v>302</v>
      </c>
      <c r="C27" s="50" t="s">
        <v>599</v>
      </c>
      <c r="D27" s="43" t="s">
        <v>631</v>
      </c>
      <c r="F27" s="58"/>
      <c r="G27" s="58" t="s">
        <v>626</v>
      </c>
      <c r="H27" s="59" t="s">
        <v>599</v>
      </c>
      <c r="I27" s="55" t="s">
        <v>646</v>
      </c>
      <c r="AE27" s="68"/>
      <c r="AF27" s="68" t="s">
        <v>231</v>
      </c>
      <c r="AG27" s="79" t="s">
        <v>599</v>
      </c>
      <c r="AH27" s="80"/>
      <c r="AN27" s="49"/>
      <c r="AO27" s="49" t="s">
        <v>686</v>
      </c>
      <c r="AP27" s="96" t="s">
        <v>602</v>
      </c>
      <c r="AQ27" s="42" t="s">
        <v>778</v>
      </c>
      <c r="AS27" s="49"/>
      <c r="AT27" s="49" t="s">
        <v>725</v>
      </c>
      <c r="AU27" s="50" t="s">
        <v>599</v>
      </c>
      <c r="AV27" s="42"/>
      <c r="BC27" s="49"/>
      <c r="BD27" s="49" t="s">
        <v>854</v>
      </c>
      <c r="BE27" s="50" t="s">
        <v>599</v>
      </c>
      <c r="BF27" s="43" t="s">
        <v>855</v>
      </c>
      <c r="BH27" s="49"/>
      <c r="BI27" s="49" t="s">
        <v>625</v>
      </c>
      <c r="BJ27" s="50" t="s">
        <v>599</v>
      </c>
      <c r="BK27" s="42"/>
      <c r="BM27" s="49"/>
      <c r="BN27" s="49" t="s">
        <v>645</v>
      </c>
      <c r="BO27" s="50" t="s">
        <v>599</v>
      </c>
      <c r="BP27" s="42"/>
      <c r="BR27" s="49"/>
      <c r="BS27" s="49" t="s">
        <v>647</v>
      </c>
      <c r="BT27" s="50" t="s">
        <v>599</v>
      </c>
      <c r="BU27" s="43" t="s">
        <v>897</v>
      </c>
    </row>
    <row r="28" spans="1:73">
      <c r="F28" s="58"/>
      <c r="G28" s="58" t="s">
        <v>628</v>
      </c>
      <c r="H28" s="59" t="s">
        <v>599</v>
      </c>
      <c r="I28" s="54"/>
      <c r="AE28" s="68"/>
      <c r="AF28" s="68" t="s">
        <v>645</v>
      </c>
      <c r="AG28" s="79" t="s">
        <v>599</v>
      </c>
      <c r="AH28" s="69"/>
      <c r="AN28" s="49"/>
      <c r="AO28" s="49" t="s">
        <v>648</v>
      </c>
      <c r="AP28" s="50" t="s">
        <v>599</v>
      </c>
      <c r="AQ28" s="41"/>
      <c r="AS28" s="49"/>
      <c r="AT28" s="49" t="s">
        <v>621</v>
      </c>
      <c r="AU28" s="50" t="s">
        <v>599</v>
      </c>
      <c r="AV28" s="41"/>
      <c r="BH28" s="49"/>
      <c r="BI28" s="49" t="s">
        <v>626</v>
      </c>
      <c r="BJ28" s="50" t="s">
        <v>599</v>
      </c>
      <c r="BK28" s="41"/>
      <c r="BM28" s="49"/>
      <c r="BN28" s="49" t="s">
        <v>625</v>
      </c>
      <c r="BO28" s="50" t="s">
        <v>599</v>
      </c>
      <c r="BP28" s="41"/>
      <c r="BR28" s="49"/>
      <c r="BS28" s="49" t="s">
        <v>630</v>
      </c>
      <c r="BT28" s="50" t="s">
        <v>599</v>
      </c>
      <c r="BU28" s="41"/>
    </row>
    <row r="29" spans="1:73">
      <c r="B29" s="40"/>
      <c r="C29" s="40"/>
      <c r="D29" s="40"/>
      <c r="F29" s="58"/>
      <c r="G29" s="58" t="s">
        <v>647</v>
      </c>
      <c r="H29" s="59" t="s">
        <v>599</v>
      </c>
      <c r="I29" s="53"/>
      <c r="AE29" s="68"/>
      <c r="AF29" s="68" t="s">
        <v>625</v>
      </c>
      <c r="AG29" s="79" t="s">
        <v>599</v>
      </c>
      <c r="AH29" s="80"/>
      <c r="AN29" s="49"/>
      <c r="AO29" s="49" t="s">
        <v>649</v>
      </c>
      <c r="AP29" s="50" t="s">
        <v>599</v>
      </c>
      <c r="AQ29" s="41"/>
      <c r="AS29" s="49"/>
      <c r="AT29" s="49" t="s">
        <v>639</v>
      </c>
      <c r="AU29" s="50" t="s">
        <v>599</v>
      </c>
      <c r="AV29" s="42"/>
      <c r="BH29" s="49"/>
      <c r="BI29" s="49" t="s">
        <v>606</v>
      </c>
      <c r="BJ29" s="50" t="s">
        <v>599</v>
      </c>
      <c r="BK29" s="42"/>
      <c r="BM29" s="49"/>
      <c r="BN29" s="49" t="s">
        <v>626</v>
      </c>
      <c r="BO29" s="50" t="s">
        <v>599</v>
      </c>
      <c r="BP29" s="42"/>
      <c r="BR29" s="49"/>
      <c r="BS29" s="49" t="s">
        <v>648</v>
      </c>
      <c r="BT29" s="50" t="s">
        <v>599</v>
      </c>
      <c r="BU29" s="44"/>
    </row>
    <row r="30" spans="1:73">
      <c r="F30" s="58"/>
      <c r="G30" s="58" t="s">
        <v>629</v>
      </c>
      <c r="H30" s="59" t="s">
        <v>599</v>
      </c>
      <c r="I30" s="54"/>
      <c r="AE30" s="68"/>
      <c r="AF30" s="68" t="s">
        <v>626</v>
      </c>
      <c r="AG30" s="79" t="s">
        <v>599</v>
      </c>
      <c r="AH30" s="81" t="s">
        <v>709</v>
      </c>
      <c r="AS30" s="49"/>
      <c r="AT30" s="49" t="s">
        <v>640</v>
      </c>
      <c r="AU30" s="96" t="s">
        <v>602</v>
      </c>
      <c r="AV30" s="41" t="s">
        <v>793</v>
      </c>
      <c r="BH30" s="49"/>
      <c r="BI30" s="49" t="s">
        <v>742</v>
      </c>
      <c r="BJ30" s="50" t="s">
        <v>599</v>
      </c>
      <c r="BK30" s="41"/>
      <c r="BM30" s="49"/>
      <c r="BN30" s="49" t="s">
        <v>606</v>
      </c>
      <c r="BO30" s="50" t="s">
        <v>599</v>
      </c>
      <c r="BP30" s="41"/>
      <c r="BR30" s="49"/>
      <c r="BS30" s="49" t="s">
        <v>649</v>
      </c>
      <c r="BT30" s="50" t="s">
        <v>599</v>
      </c>
      <c r="BU30" s="41"/>
    </row>
    <row r="31" spans="1:73">
      <c r="F31" s="58"/>
      <c r="G31" s="58" t="s">
        <v>607</v>
      </c>
      <c r="H31" s="59" t="s">
        <v>599</v>
      </c>
      <c r="I31" s="53"/>
      <c r="AE31" s="68"/>
      <c r="AF31" s="68" t="s">
        <v>606</v>
      </c>
      <c r="AG31" s="79" t="s">
        <v>599</v>
      </c>
      <c r="AH31" s="80"/>
      <c r="AS31" s="49"/>
      <c r="AT31" s="49" t="s">
        <v>171</v>
      </c>
      <c r="AU31" s="50" t="s">
        <v>599</v>
      </c>
      <c r="AV31" s="42"/>
      <c r="BH31" s="49"/>
      <c r="BI31" s="49" t="s">
        <v>808</v>
      </c>
      <c r="BJ31" s="50" t="s">
        <v>602</v>
      </c>
      <c r="BK31" s="43" t="s">
        <v>864</v>
      </c>
      <c r="BM31" s="49"/>
      <c r="BN31" s="49" t="s">
        <v>739</v>
      </c>
      <c r="BO31" s="50" t="s">
        <v>599</v>
      </c>
      <c r="BP31" s="43" t="s">
        <v>878</v>
      </c>
    </row>
    <row r="32" spans="1:73">
      <c r="F32" s="58"/>
      <c r="G32" s="58" t="s">
        <v>630</v>
      </c>
      <c r="H32" s="59" t="s">
        <v>599</v>
      </c>
      <c r="I32" s="54"/>
      <c r="AE32" s="68"/>
      <c r="AF32" s="68" t="s">
        <v>656</v>
      </c>
      <c r="AG32" s="100" t="s">
        <v>602</v>
      </c>
      <c r="AH32" s="69" t="s">
        <v>710</v>
      </c>
      <c r="AS32" s="49"/>
      <c r="AT32" s="49" t="s">
        <v>622</v>
      </c>
      <c r="AU32" s="96" t="s">
        <v>602</v>
      </c>
      <c r="AV32" s="41" t="s">
        <v>794</v>
      </c>
      <c r="BH32" s="49"/>
      <c r="BI32" s="49" t="s">
        <v>630</v>
      </c>
      <c r="BJ32" s="50" t="s">
        <v>599</v>
      </c>
      <c r="BK32" s="41"/>
      <c r="BM32" s="49"/>
      <c r="BN32" s="49" t="s">
        <v>742</v>
      </c>
      <c r="BO32" s="50" t="s">
        <v>599</v>
      </c>
      <c r="BP32" s="51" t="s">
        <v>879</v>
      </c>
    </row>
    <row r="33" spans="6:68">
      <c r="F33" s="58"/>
      <c r="G33" s="58" t="s">
        <v>648</v>
      </c>
      <c r="H33" s="59" t="s">
        <v>599</v>
      </c>
      <c r="I33" s="53"/>
      <c r="AE33" s="68"/>
      <c r="AF33" s="68" t="s">
        <v>265</v>
      </c>
      <c r="AG33" s="100" t="s">
        <v>602</v>
      </c>
      <c r="AH33" s="82" t="s">
        <v>711</v>
      </c>
      <c r="AS33" s="49"/>
      <c r="AT33" s="49" t="s">
        <v>643</v>
      </c>
      <c r="AU33" s="50" t="s">
        <v>599</v>
      </c>
      <c r="AV33" s="42"/>
      <c r="BH33" s="49"/>
      <c r="BI33" s="49" t="s">
        <v>302</v>
      </c>
      <c r="BJ33" s="50" t="s">
        <v>599</v>
      </c>
      <c r="BK33" s="43" t="s">
        <v>865</v>
      </c>
      <c r="BM33" s="49"/>
      <c r="BN33" s="49" t="s">
        <v>647</v>
      </c>
      <c r="BO33" s="50" t="s">
        <v>599</v>
      </c>
      <c r="BP33" s="42"/>
    </row>
    <row r="34" spans="6:68">
      <c r="F34" s="58"/>
      <c r="G34" s="58" t="s">
        <v>649</v>
      </c>
      <c r="H34" s="59" t="s">
        <v>599</v>
      </c>
      <c r="I34" s="41"/>
      <c r="AE34" s="68"/>
      <c r="AF34" s="68" t="s">
        <v>647</v>
      </c>
      <c r="AG34" s="79" t="s">
        <v>599</v>
      </c>
      <c r="AH34" s="83"/>
      <c r="AS34" s="49"/>
      <c r="AT34" s="49" t="s">
        <v>732</v>
      </c>
      <c r="AU34" s="50" t="s">
        <v>599</v>
      </c>
      <c r="AV34" s="51" t="s">
        <v>795</v>
      </c>
      <c r="BH34" s="49"/>
      <c r="BI34" s="49" t="s">
        <v>686</v>
      </c>
      <c r="BJ34" s="96" t="s">
        <v>602</v>
      </c>
      <c r="BK34" s="41" t="s">
        <v>866</v>
      </c>
      <c r="BM34" s="49"/>
      <c r="BN34" s="49" t="s">
        <v>629</v>
      </c>
      <c r="BO34" s="96" t="s">
        <v>602</v>
      </c>
      <c r="BP34" s="51" t="s">
        <v>880</v>
      </c>
    </row>
    <row r="35" spans="6:68">
      <c r="AE35" s="68"/>
      <c r="AF35" s="68" t="s">
        <v>630</v>
      </c>
      <c r="AG35" s="79" t="s">
        <v>599</v>
      </c>
      <c r="AH35" s="80"/>
      <c r="AS35" s="49"/>
      <c r="AT35" s="49" t="s">
        <v>796</v>
      </c>
      <c r="AU35" s="50" t="s">
        <v>599</v>
      </c>
      <c r="AV35" s="43" t="s">
        <v>797</v>
      </c>
      <c r="BH35" s="49"/>
      <c r="BI35" s="49" t="s">
        <v>648</v>
      </c>
      <c r="BJ35" s="50" t="s">
        <v>599</v>
      </c>
      <c r="BK35" s="42"/>
      <c r="BM35" s="49"/>
      <c r="BN35" s="49" t="s">
        <v>607</v>
      </c>
      <c r="BO35" s="96" t="s">
        <v>602</v>
      </c>
      <c r="BP35" s="43" t="s">
        <v>881</v>
      </c>
    </row>
    <row r="36" spans="6:68">
      <c r="AE36" s="68"/>
      <c r="AF36" s="68" t="s">
        <v>648</v>
      </c>
      <c r="AG36" s="79" t="s">
        <v>599</v>
      </c>
      <c r="AH36" s="69"/>
      <c r="AS36" s="49"/>
      <c r="AT36" s="49" t="s">
        <v>197</v>
      </c>
      <c r="AU36" s="50" t="s">
        <v>599</v>
      </c>
      <c r="AV36" s="51" t="s">
        <v>798</v>
      </c>
      <c r="BH36" s="49"/>
      <c r="BI36" s="49" t="s">
        <v>649</v>
      </c>
      <c r="BJ36" s="50" t="s">
        <v>599</v>
      </c>
      <c r="BK36" s="41"/>
      <c r="BM36" s="49"/>
      <c r="BN36" s="49" t="s">
        <v>630</v>
      </c>
      <c r="BO36" s="50" t="s">
        <v>599</v>
      </c>
      <c r="BP36" s="41"/>
    </row>
    <row r="37" spans="6:68">
      <c r="AE37" s="68"/>
      <c r="AF37" s="68" t="s">
        <v>649</v>
      </c>
      <c r="AG37" s="79" t="s">
        <v>599</v>
      </c>
      <c r="AH37" s="82" t="s">
        <v>712</v>
      </c>
      <c r="AS37" s="49"/>
      <c r="AT37" s="49" t="s">
        <v>199</v>
      </c>
      <c r="AU37" s="96" t="s">
        <v>602</v>
      </c>
      <c r="AV37" s="43" t="s">
        <v>799</v>
      </c>
      <c r="BM37" s="49"/>
      <c r="BN37" s="49" t="s">
        <v>302</v>
      </c>
      <c r="BO37" s="50" t="s">
        <v>599</v>
      </c>
      <c r="BP37" s="43" t="s">
        <v>882</v>
      </c>
    </row>
    <row r="38" spans="6:68">
      <c r="AS38" s="49"/>
      <c r="AT38" s="49" t="s">
        <v>800</v>
      </c>
      <c r="AU38" s="50" t="s">
        <v>599</v>
      </c>
      <c r="AV38" s="51" t="s">
        <v>801</v>
      </c>
      <c r="BM38" s="49"/>
      <c r="BN38" s="49" t="s">
        <v>686</v>
      </c>
      <c r="BO38" s="50" t="s">
        <v>599</v>
      </c>
      <c r="BP38" s="41"/>
    </row>
    <row r="39" spans="6:68">
      <c r="AS39" s="49"/>
      <c r="AT39" s="49" t="s">
        <v>230</v>
      </c>
      <c r="AU39" s="50" t="s">
        <v>599</v>
      </c>
      <c r="AV39" s="42"/>
      <c r="BM39" s="49"/>
      <c r="BN39" s="49" t="s">
        <v>648</v>
      </c>
      <c r="BO39" s="50" t="s">
        <v>599</v>
      </c>
      <c r="BP39" s="42"/>
    </row>
    <row r="40" spans="6:68">
      <c r="AS40" s="49"/>
      <c r="AT40" s="49" t="s">
        <v>644</v>
      </c>
      <c r="AU40" s="50" t="s">
        <v>599</v>
      </c>
      <c r="AV40" s="41"/>
      <c r="BM40" s="49"/>
      <c r="BN40" s="49" t="s">
        <v>649</v>
      </c>
      <c r="BO40" s="50" t="s">
        <v>599</v>
      </c>
      <c r="BP40" s="41"/>
    </row>
    <row r="41" spans="6:68">
      <c r="AS41" s="49"/>
      <c r="AT41" s="49" t="s">
        <v>802</v>
      </c>
      <c r="AU41" s="96" t="s">
        <v>602</v>
      </c>
      <c r="AV41" s="42" t="s">
        <v>803</v>
      </c>
    </row>
    <row r="42" spans="6:68">
      <c r="AS42" s="49"/>
      <c r="AT42" s="49" t="s">
        <v>231</v>
      </c>
      <c r="AU42" s="50" t="s">
        <v>599</v>
      </c>
      <c r="AV42" s="41"/>
    </row>
    <row r="43" spans="6:68">
      <c r="AS43" s="49"/>
      <c r="AT43" s="49" t="s">
        <v>645</v>
      </c>
      <c r="AU43" s="50" t="s">
        <v>599</v>
      </c>
      <c r="AV43" s="42"/>
    </row>
    <row r="44" spans="6:68">
      <c r="AS44" s="49"/>
      <c r="AT44" s="49" t="s">
        <v>625</v>
      </c>
      <c r="AU44" s="50" t="s">
        <v>599</v>
      </c>
      <c r="AV44" s="41"/>
    </row>
    <row r="45" spans="6:68">
      <c r="AS45" s="49"/>
      <c r="AT45" s="49" t="s">
        <v>626</v>
      </c>
      <c r="AU45" s="50" t="s">
        <v>599</v>
      </c>
      <c r="AV45" s="42"/>
    </row>
    <row r="46" spans="6:68">
      <c r="AS46" s="49"/>
      <c r="AT46" s="49" t="s">
        <v>606</v>
      </c>
      <c r="AU46" s="96" t="s">
        <v>602</v>
      </c>
      <c r="AV46" s="41" t="s">
        <v>804</v>
      </c>
    </row>
    <row r="47" spans="6:68">
      <c r="AS47" s="49"/>
      <c r="AT47" s="49" t="s">
        <v>739</v>
      </c>
      <c r="AU47" s="50" t="s">
        <v>599</v>
      </c>
      <c r="AV47" s="42"/>
    </row>
    <row r="48" spans="6:68">
      <c r="AS48" s="49"/>
      <c r="AT48" s="49" t="s">
        <v>805</v>
      </c>
      <c r="AU48" s="50" t="s">
        <v>599</v>
      </c>
      <c r="AV48" s="41"/>
    </row>
    <row r="49" spans="45:48">
      <c r="AS49" s="49"/>
      <c r="AT49" s="49" t="s">
        <v>628</v>
      </c>
      <c r="AU49" s="50" t="s">
        <v>599</v>
      </c>
      <c r="AV49" s="42"/>
    </row>
    <row r="50" spans="45:48">
      <c r="AS50" s="49"/>
      <c r="AT50" s="49" t="s">
        <v>265</v>
      </c>
      <c r="AU50" s="50" t="s">
        <v>599</v>
      </c>
      <c r="AV50" s="41"/>
    </row>
    <row r="51" spans="45:48">
      <c r="AS51" s="49"/>
      <c r="AT51" s="49" t="s">
        <v>660</v>
      </c>
      <c r="AU51" s="50" t="s">
        <v>599</v>
      </c>
      <c r="AV51" s="43" t="s">
        <v>806</v>
      </c>
    </row>
    <row r="52" spans="45:48">
      <c r="AS52" s="49"/>
      <c r="AT52" s="49" t="s">
        <v>742</v>
      </c>
      <c r="AU52" s="50" t="s">
        <v>599</v>
      </c>
      <c r="AV52" s="41"/>
    </row>
    <row r="53" spans="45:48">
      <c r="AS53" s="49"/>
      <c r="AT53" s="49" t="s">
        <v>647</v>
      </c>
      <c r="AU53" s="50" t="s">
        <v>599</v>
      </c>
      <c r="AV53" s="42"/>
    </row>
    <row r="54" spans="45:48">
      <c r="AS54" s="49"/>
      <c r="AT54" s="49" t="s">
        <v>607</v>
      </c>
      <c r="AU54" s="96" t="s">
        <v>602</v>
      </c>
      <c r="AV54" s="51" t="s">
        <v>807</v>
      </c>
    </row>
    <row r="55" spans="45:48">
      <c r="AS55" s="49"/>
      <c r="AT55" s="49" t="s">
        <v>808</v>
      </c>
      <c r="AU55" s="50" t="s">
        <v>599</v>
      </c>
      <c r="AV55" s="43" t="s">
        <v>809</v>
      </c>
    </row>
    <row r="56" spans="45:48">
      <c r="AS56" s="49"/>
      <c r="AT56" s="49" t="s">
        <v>630</v>
      </c>
      <c r="AU56" s="50" t="s">
        <v>599</v>
      </c>
      <c r="AV56" s="41"/>
    </row>
    <row r="57" spans="45:48">
      <c r="AS57" s="49"/>
      <c r="AT57" s="49" t="s">
        <v>302</v>
      </c>
      <c r="AU57" s="96" t="s">
        <v>602</v>
      </c>
      <c r="AV57" s="43" t="s">
        <v>810</v>
      </c>
    </row>
    <row r="58" spans="45:48">
      <c r="AS58" s="49"/>
      <c r="AT58" s="49" t="s">
        <v>686</v>
      </c>
      <c r="AU58" s="96" t="s">
        <v>602</v>
      </c>
      <c r="AV58" s="41" t="s">
        <v>811</v>
      </c>
    </row>
    <row r="59" spans="45:48">
      <c r="AS59" s="49"/>
      <c r="AT59" s="49" t="s">
        <v>812</v>
      </c>
      <c r="AU59" s="50" t="s">
        <v>599</v>
      </c>
      <c r="AV59" s="43" t="s">
        <v>813</v>
      </c>
    </row>
    <row r="60" spans="45:48">
      <c r="AS60" s="49"/>
      <c r="AT60" s="49" t="s">
        <v>648</v>
      </c>
      <c r="AU60" s="50" t="s">
        <v>599</v>
      </c>
      <c r="AV60" s="41"/>
    </row>
    <row r="61" spans="45:48">
      <c r="AS61" s="49"/>
      <c r="AT61" s="49" t="s">
        <v>649</v>
      </c>
      <c r="AU61" s="50" t="s">
        <v>599</v>
      </c>
      <c r="AV61" s="44"/>
    </row>
    <row r="62" spans="45:48">
      <c r="AS62" s="49"/>
      <c r="AT62" s="49" t="s">
        <v>814</v>
      </c>
      <c r="AU62" s="96" t="s">
        <v>602</v>
      </c>
      <c r="AV62" s="51" t="s">
        <v>815</v>
      </c>
    </row>
  </sheetData>
  <hyperlinks>
    <hyperlink ref="D15" r:id="rId1" display="https://www.world.tax/news/andorra-italy-tax-information-exchange-agreement-signed.php"/>
    <hyperlink ref="D22" r:id="rId2" display="https://www.world.tax/news/andorra-portugal-tax-treaty-signed.php"/>
    <hyperlink ref="D27" r:id="rId3" display="https://www.world.tax/news/switzerland-andorra-tax-information-exchange-agreement-enters-into-force.php"/>
    <hyperlink ref="I5" r:id="rId4" display="https://www.world.tax/news/bahamas-belgium-tax-information-exchange-agreement-enters-into-force.php"/>
    <hyperlink ref="I8" r:id="rId5" display="https://www.world.tax/news/bahamas-poland-tax-information-exchange-agreement-enters-into-force.php"/>
    <hyperlink ref="I18" r:id="rId6" display="https://www.world.tax/news/bahamas-indonesia-tax-information-exchange-agreement-signed.php"/>
    <hyperlink ref="I27" r:id="rId7" display="https://www.world.tax/news/bahamas-poland-tax-information-exchange-agreement-enters-into-force.php"/>
    <hyperlink ref="S6" r:id="rId8" display="https://www.world.tax/news/belize-czech-republic-tax-information-exchange-agreement-signed.php"/>
    <hyperlink ref="S13" r:id="rId9" display="https://www.world.tax/news/belize-india-tax-information-exchange-agreement-enters-into-force.php"/>
    <hyperlink ref="S17" r:id="rId10" display="https://www.world.tax/news/belize-poland-tax-information-exchange-agreements-signed.php"/>
    <hyperlink ref="S21" r:id="rId11" display="https://www.world.tax/news/belize-switzerland-tax-information-exchange-agreement-enters-into-force.php"/>
    <hyperlink ref="X3" r:id="rId12" display="https://www.world.tax/news/bermuda-belgium-tax-information-exchange-agreement-signed.php"/>
    <hyperlink ref="X20" r:id="rId13" display="https://www.world.tax/news/bermuda-poland-tax-information-exchange-agreement-enters-into-force.php"/>
    <hyperlink ref="X23" r:id="rId14" display="https://www.world.tax/news/bermuda-south-korea-tax-information-exchange-agreement-enters-into-force.php"/>
    <hyperlink ref="X25" r:id="rId15" display="https://www.world.tax/news/bermuda-turkey-tax-information-exchange-agreement-enters-into-force.php"/>
    <hyperlink ref="AC12" r:id="rId16" display="https://www.world.tax/news/british-virgin-islands-guernsey-tax-information-exchange-agreement-enters-into-force.php"/>
    <hyperlink ref="AC16" r:id="rId17" display="https://www.world.tax/news/british-virgin-islands-isle-of-man-tax-information-exchange-agreement-enters-into-force.php"/>
    <hyperlink ref="AC20" r:id="rId18" display="https://www.world.tax/news/british-virgin-islands-poland-tax-information-exchange-agreement-signed.php"/>
    <hyperlink ref="AH6" r:id="rId19" display="https://www.world.tax/news/cayman-islands-belgium-tax-information-exchange-agreement-signed.php"/>
    <hyperlink ref="AH7" r:id="rId20" display="https://www.world.tax/news/cayman-islands-brazil-tax-information-exchange-agreement-signed.php"/>
    <hyperlink ref="AH22" r:id="rId21" display="https://www.world.tax/news/cayman-islands-isle-of-man-tax-information-exchange-agreement-enters-into-force.php"/>
    <hyperlink ref="AH23" r:id="rId22" display="https://www.world.tax/news/cayman-islands-italy-tax-information-exchange-agreement-enters-into-force.php"/>
    <hyperlink ref="AH30" r:id="rId23" display="https://www.world.tax/news/cayman-islands-poland-tax-information-exchange-agreement-enters-into-force.php"/>
    <hyperlink ref="AH33" r:id="rId24" display="https://www.world.tax/news/cayman-islands-seychelles-tax-information-exchange-agreement-signed.php"/>
    <hyperlink ref="AH37" r:id="rId25" display="https://www.world.tax/news/cayman-islands-united-states-tax-information-exchange-agreement-enters-into-force.php"/>
    <hyperlink ref="AQ5" r:id="rId26" display="https://www.world.tax/news/gibraltar-belgium-tax-information-exchange-agreement-enters-into-force.php"/>
    <hyperlink ref="AQ11" r:id="rId27" display="https://www.world.tax/news/gibraltar-greece-tax-information-exchange-agreement-signed.php"/>
    <hyperlink ref="AQ13" r:id="rId28" display="https://www.world.tax/news/guernsey-gibraltar-tax-information-exchange-agreement-becomes-effective.php"/>
    <hyperlink ref="AQ17" r:id="rId29" display="https://www.world.tax/news/gibraltar-italy-tax-information-exchange-agreement-enters-into-force.php"/>
    <hyperlink ref="AQ19" r:id="rId30" display="https://www.world.tax/news/gibraltar-mexico-tax-information-exchange-agreement-enters-into-force.php"/>
    <hyperlink ref="AV5" r:id="rId31" display="https://www.world.tax/news/guernsey-austria-tax-information-exchange-agreement-enters-into-force.php"/>
    <hyperlink ref="AV7" r:id="rId32" display="https://www.world.tax/news/guernsey-belgium-tax-information-exchange-agreement-signed.php"/>
    <hyperlink ref="AV9" r:id="rId33" display="https://www.world.tax/news/guernsey-botswana-tax-information-exchange-agreement-signed.php"/>
    <hyperlink ref="AV10" r:id="rId34" display="https://www.world.tax/news/guernsey-brazil-tax-information-exchange-agreement-signed.php"/>
    <hyperlink ref="AV11" r:id="rId35" display="https://www.world.tax/news/british-virgin-islands-guernsey-tax-information-exchange-agreement-enters-into-force.php"/>
    <hyperlink ref="AV12" r:id="rId36" display="https://www.world.tax/news/guernsey-bulgaria-tax-information-exchange-agreement-signed.php"/>
    <hyperlink ref="AV15" r:id="rId37" display="https://www.world.tax/news/guernsey-chile-tax-information-exchange-agreement-enters-into-force.php"/>
    <hyperlink ref="AV17" r:id="rId38" display="https://www.world.tax/news/guernsey-costa-rica-tax-information-exchange-agreement-signed.php"/>
    <hyperlink ref="AV24" r:id="rId39" display="https://www.world.tax/news/guernsey-gibraltar-tax-information-exchange-agreement-becomes-effective.php"/>
    <hyperlink ref="AV34" r:id="rId40" display="https://www.world.tax/news/guernsey-latvia-tax-information-exchange-agreement-enters-into-force.php"/>
    <hyperlink ref="AV35" r:id="rId41" display="https://www.world.tax/news/guernsey-lesotho-tax-information-exchange-agreement-enters-into-force.php"/>
    <hyperlink ref="AV36" r:id="rId42" display="https://www.world.tax/news/guernsey-liechtenstein-tax-information-exchange-agreement-enters-into-force.php"/>
    <hyperlink ref="AV37" r:id="rId43" display="https://www.world.tax/news/guernsey-lithuania-tax-information-exchange-agreement-signed.php"/>
    <hyperlink ref="AV38" r:id="rId44" display="https://www.world.tax/news/guernsey-macau-tax-information-exchange-agreement-enters-into-force.php"/>
    <hyperlink ref="AV51" r:id="rId45" display="https://www.world.tax/news/guernsey-slovakia-tax-information-exchange-agreement-enters-into-force.php"/>
    <hyperlink ref="AV54" r:id="rId46" display="https://www.world.tax/news/guernsey-spain-tax-information-exchange-agreement-signed.php"/>
    <hyperlink ref="AV55" r:id="rId47" display="https://www.world.tax/news/guernsey-swaziland-tax-information-exchange-agreement-enters-into-force.php"/>
    <hyperlink ref="AV57" r:id="rId48" display="https://www.world.tax/news/guernsey-switzerland-tax-information-exchange-agreement-signed.php"/>
    <hyperlink ref="AV59" r:id="rId49" display="https://www.world.tax/news/guernsey-turks-and-caicos-islands-tax-information-exchange-agreement-enters-into-force.php"/>
    <hyperlink ref="AV62" r:id="rId50" display="https://www.world.tax/news/guernsey-uruguay-tax-information-exchange-agreement-signed.php"/>
    <hyperlink ref="BA3" r:id="rId51" display="https://www.world.tax/news/hong-kong-denmark-tax-information-exchange-agreement-signed.php"/>
    <hyperlink ref="BA4" r:id="rId52" display="https://www.world.tax/news/hong-kong-faroe-islands-tax-information-exchange-agreement-enters-into-force.php"/>
    <hyperlink ref="BA5" r:id="rId53" display="https://www.world.tax/news/hong-kong-greenland-tax-information-exchange-agreement-enters-into-force.php"/>
    <hyperlink ref="BA6" r:id="rId54" display="https://www.world.tax/news/hong-kong-iceland-tax-information-exchange-agreement-enters-into-force.php"/>
    <hyperlink ref="BA7" r:id="rId55" display="https://www.world.tax/news/hong-kong-norway-tax-information-exchange-agreement-enters-into-force.php"/>
    <hyperlink ref="BA8" r:id="rId56" display="https://www.world.tax/news/hong-kong-sweden-tax-information-exchange-agreement-enters-into-force.php"/>
    <hyperlink ref="BA9" r:id="rId57" display="https://www.world.tax/news/hong-kong-united-states-tax-information-exchange-agreement-enters-into-force.php"/>
    <hyperlink ref="BF5" r:id="rId58" display="https://www.world.tax/news/ireland-argentina-tax-information-exchange-agreement-signed.php"/>
    <hyperlink ref="BF21" r:id="rId59" display="https://www.world.tax/news/ireland-st.-kitts-and-nevis-tax-information-exchange-agreement-signed.php"/>
    <hyperlink ref="BF27" r:id="rId60" display="https://www.world.tax/news/ireland-vanuatu-tax-information-exchange-agreement-enters-into-force.php"/>
    <hyperlink ref="BK5" r:id="rId61" display="https://www.world.tax/news/isle-of-man-botswana-tax-information-exchange-agreement-signed.php"/>
    <hyperlink ref="BK6" r:id="rId62" display="https://www.world.tax/news/british-virgin-islands-isle-of-man-tax-information-exchange-agreement-enters-into-force.php"/>
    <hyperlink ref="BK8" r:id="rId63" display="https://www.world.tax/news/cayman-islands-isle-of-man-tax-information-exchange-agreement-enters-into-force.php"/>
    <hyperlink ref="BK19" r:id="rId64" display="https://www.world.tax/news/isle-of-man-indonesia-tax-information-exchange-agreement-enters-into-force.php"/>
    <hyperlink ref="BK21" r:id="rId65" display="https://www.world.tax/news/isle-of-man-italy-tax-information-exchange-agreement-enters-into-force.php"/>
    <hyperlink ref="BK23" r:id="rId66" display="https://www.world.tax/news/isle-of-man-lesotho-tax-information-exchange-agreement-enters-into-force.php"/>
    <hyperlink ref="BK31" r:id="rId67" display="https://www.world.tax/news/isle-of-man-swaziland-tax-information-exchange-agreement-signed.php"/>
    <hyperlink ref="BK33" r:id="rId68" display="https://www.world.tax/news/isle-of-man-switzerland-tax-information-exchange-agreement-enters-into-force.php"/>
    <hyperlink ref="BP5" r:id="rId69" display="https://www.world.tax/news/jersey-austria-tax-information-exchange-agreement-enters-into-force.php"/>
    <hyperlink ref="BP6" r:id="rId70" display="https://www.world.tax/news/jersey-belgium-tax-information-exchange-agreement-signed.php"/>
    <hyperlink ref="BP7" r:id="rId71" display="https://www.world.tax/news/jersey-brazil-tax-information-exchange-agreement-signed.php"/>
    <hyperlink ref="BP17" r:id="rId72" display="https://www.world.tax/news/jersey-hungary-tax-information-exchange-agreement-enters-into-force.php"/>
    <hyperlink ref="BP22" r:id="rId73" display="https://www.world.tax/news/jersey-italy-tax-information-exchange-agreement-enters-into-force.php"/>
    <hyperlink ref="BP31" r:id="rId74" display="https://www.world.tax/news/jersey-romania-tax-information-exchange-agreement-enters-into-force.php"/>
    <hyperlink ref="BP32" r:id="rId75" display="https://www.world.tax/news/jersey-slovenia-tax-information-exchange-agreement-enters-into-force.php"/>
    <hyperlink ref="BP34" r:id="rId76" display="https://www.world.tax/news/jersey-south-korea-tax-information-exchange-agreement-signed.php"/>
    <hyperlink ref="BP35" r:id="rId77" display="https://www.world.tax/news/jersey-spain-tax-information-exchange-agreement-signed.php"/>
    <hyperlink ref="BP37" r:id="rId78" display="https://www.world.tax/news/jersey-switzerland-tax-information-exchange-agreement-enters-into-force.php"/>
    <hyperlink ref="BU7" r:id="rId79" display="https://www.world.tax/news/liechtenstein-canada-tax-information-exchange-agreement-enters-into-force.php"/>
    <hyperlink ref="BU8" r:id="rId80" display="https://www.world.tax/news/liechtenstein-china-tax-information-exchange-agreement-enters-into-force.php"/>
    <hyperlink ref="BU15" r:id="rId81" display="https://www.world.tax/news/guernsey-liechtenstein-tax-information-exchange-agreement-enters-into-force.php"/>
    <hyperlink ref="BU19" r:id="rId82" display="https://www.world.tax/news/liechtenstein-italy-tax-information-exchange-agreement-signed.php"/>
    <hyperlink ref="BU27" r:id="rId83" display="https://www.world.tax/news/liechtenstein-south-africa-tax-information-exchange-agreement-enters-into-force.php"/>
    <hyperlink ref="BZ4" r:id="rId84" display="https://www.world.tax/news/guernsey-lithuania-tax-information-exchange-agreement-signed.php"/>
    <hyperlink ref="CJ7" r:id="rId85" display="https://www.world.tax/news/malta-macau-tax-information-exchange-agreement-signed.php"/>
    <hyperlink ref="CO4" r:id="rId86" display="https://www.world.tax/news/mauritius-austria-tax-information-exchange-agreement-signed.php"/>
    <hyperlink ref="CO12" r:id="rId87" display="https://www.world.tax/news/mauritius-united-states-tax-information-exchange-agreement-signed.php"/>
    <hyperlink ref="CY3" r:id="rId88" display="https://www.world.tax/news/cayman-islands-seychelles-tax-information-exchange-agreement-signed.php"/>
    <hyperlink ref="CY7" r:id="rId89" display="https://www.world.tax/news/hong-kong-south-africa-tax-treaty-enters-into-force.php"/>
    <hyperlink ref="CY11" r:id="rId90" display="https://www.world.tax/news/seychelles-india-tax-information-exchange-agreement-signed.php"/>
    <hyperlink ref="CY15" r:id="rId91" display="https://www.world.tax/news/seychelles-switzerland-tax-information-exchange-agreement-signed.php"/>
    <hyperlink ref="DI3" r:id="rId92" display="https://www.world.tax/news/switzerland-andorra-tax-information-exchange-agreement-enters-into-force.php"/>
    <hyperlink ref="DI4" r:id="rId93" display="https://www.world.tax/news/belize-switzerland-tax-information-exchange-agreement-enters-into-force.php"/>
    <hyperlink ref="DI5" r:id="rId94" display="https://www.world.tax/news/switzerland-greenland-tax-information-exchange-agreement-signed.php"/>
    <hyperlink ref="DI6" r:id="rId95" display="https://www.world.tax/news/switzerland-grenada-tax-information-exchange-agreement-signed.php"/>
    <hyperlink ref="DI7" r:id="rId96" display="https://www.world.tax/news/guernsey-switzerland-tax-information-exchange-agreement-signed.php"/>
    <hyperlink ref="DI8" r:id="rId97" display="https://www.world.tax/news/isle-of-man-switzerland-tax-information-exchange-agreement-enters-into-force.php"/>
    <hyperlink ref="DI9" r:id="rId98" display="https://www.world.tax/news/jersey-switzerland-tax-information-exchange-agreement-enters-into-force.php"/>
    <hyperlink ref="DI10" r:id="rId99" display="https://www.world.tax/news/switzerland-san-marino-tax-information-exchange-agreement-signed.php"/>
    <hyperlink ref="DI11" r:id="rId100" display="https://www.world.tax/news/seychelles-switzerland-tax-information-exchange-agreement-signed.php"/>
    <hyperlink ref="DN3" r:id="rId101" display="https://www.world.tax/news/united-arab-emirates-denmark-tax-information-exchange-agreement-signed.php"/>
    <hyperlink ref="DN4" r:id="rId102" display="https://www.world.tax/news/united-arab-emirates-norway-tax-information-exchange-agreement-signed.php"/>
    <hyperlink ref="DN5" r:id="rId103" display="https://www.world.tax/news/united-arab-emirates-sweden-tax-information-exchange-agreement-signed.php"/>
    <hyperlink ref="DS3" r:id="rId104" display="https://www.world.tax/news/united-arab-emirates-denmark-tax-information-exchange-agreement-signed.php"/>
    <hyperlink ref="DS4" r:id="rId105" display="https://www.world.tax/news/united-arab-emirates-norway-tax-information-exchange-agreement-signed.php"/>
    <hyperlink ref="DS5" r:id="rId106" display="https://www.world.tax/news/united-arab-emirates-sweden-tax-information-exchange-agreement-signed.php"/>
  </hyperlinks>
  <pageMargins left="0.7" right="0.7" top="0.75" bottom="0.75" header="0.3" footer="0.3"/>
  <drawing r:id="rId10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8"/>
  <sheetViews>
    <sheetView workbookViewId="0">
      <selection activeCell="B1" sqref="B1:B28"/>
    </sheetView>
  </sheetViews>
  <sheetFormatPr baseColWidth="10" defaultRowHeight="15"/>
  <cols>
    <col min="1" max="1" width="14.5703125" bestFit="1" customWidth="1"/>
    <col min="2" max="2" width="16.140625" bestFit="1" customWidth="1"/>
  </cols>
  <sheetData>
    <row r="1" spans="1:2">
      <c r="A1" s="1" t="s">
        <v>0</v>
      </c>
      <c r="B1" s="1" t="s">
        <v>1284</v>
      </c>
    </row>
    <row r="2" spans="1:2">
      <c r="A2" s="92" t="s">
        <v>3</v>
      </c>
      <c r="B2" s="92" t="s">
        <v>5</v>
      </c>
    </row>
    <row r="3" spans="1:2">
      <c r="A3" s="13" t="s">
        <v>1</v>
      </c>
      <c r="B3" s="13" t="s">
        <v>5</v>
      </c>
    </row>
    <row r="4" spans="1:2">
      <c r="A4" s="13" t="s">
        <v>2</v>
      </c>
      <c r="B4" s="13" t="s">
        <v>5</v>
      </c>
    </row>
    <row r="5" spans="1:2">
      <c r="A5" s="13" t="s">
        <v>78</v>
      </c>
      <c r="B5" s="13" t="s">
        <v>5</v>
      </c>
    </row>
    <row r="6" spans="1:2">
      <c r="A6" s="13" t="s">
        <v>79</v>
      </c>
      <c r="B6" s="13" t="s">
        <v>5</v>
      </c>
    </row>
    <row r="7" spans="1:2">
      <c r="A7" s="92" t="s">
        <v>1263</v>
      </c>
      <c r="B7" s="92" t="s">
        <v>5</v>
      </c>
    </row>
    <row r="8" spans="1:2">
      <c r="A8" s="92" t="s">
        <v>105</v>
      </c>
      <c r="B8" s="92" t="s">
        <v>5</v>
      </c>
    </row>
    <row r="9" spans="1:2">
      <c r="A9" s="92" t="s">
        <v>106</v>
      </c>
      <c r="B9" s="92" t="s">
        <v>5</v>
      </c>
    </row>
    <row r="10" spans="1:2">
      <c r="A10" s="91" t="s">
        <v>107</v>
      </c>
      <c r="B10" s="91" t="s">
        <v>41</v>
      </c>
    </row>
    <row r="11" spans="1:2">
      <c r="A11" s="92" t="s">
        <v>142</v>
      </c>
      <c r="B11" s="92" t="s">
        <v>5</v>
      </c>
    </row>
    <row r="12" spans="1:2">
      <c r="A12" s="92" t="s">
        <v>1264</v>
      </c>
      <c r="B12" s="92" t="s">
        <v>5</v>
      </c>
    </row>
    <row r="13" spans="1:2">
      <c r="A13" s="92" t="s">
        <v>144</v>
      </c>
      <c r="B13" s="92" t="s">
        <v>5</v>
      </c>
    </row>
    <row r="14" spans="1:2">
      <c r="A14" s="92" t="s">
        <v>171</v>
      </c>
      <c r="B14" s="92" t="s">
        <v>5</v>
      </c>
    </row>
    <row r="15" spans="1:2">
      <c r="A15" s="92" t="s">
        <v>172</v>
      </c>
      <c r="B15" s="92" t="s">
        <v>5</v>
      </c>
    </row>
    <row r="16" spans="1:2">
      <c r="A16" s="92" t="s">
        <v>173</v>
      </c>
      <c r="B16" s="92" t="s">
        <v>5</v>
      </c>
    </row>
    <row r="17" spans="1:2">
      <c r="A17" s="92" t="s">
        <v>197</v>
      </c>
      <c r="B17" s="92" t="s">
        <v>5</v>
      </c>
    </row>
    <row r="18" spans="1:2">
      <c r="A18" s="92" t="s">
        <v>199</v>
      </c>
      <c r="B18" s="92" t="s">
        <v>5</v>
      </c>
    </row>
    <row r="19" spans="1:2">
      <c r="A19" s="92" t="s">
        <v>198</v>
      </c>
      <c r="B19" s="92" t="s">
        <v>5</v>
      </c>
    </row>
    <row r="20" spans="1:2">
      <c r="A20" s="92" t="s">
        <v>229</v>
      </c>
      <c r="B20" s="92" t="s">
        <v>5</v>
      </c>
    </row>
    <row r="21" spans="1:2">
      <c r="A21" s="92" t="s">
        <v>230</v>
      </c>
      <c r="B21" s="92" t="s">
        <v>5</v>
      </c>
    </row>
    <row r="22" spans="1:2">
      <c r="A22" s="92" t="s">
        <v>231</v>
      </c>
      <c r="B22" s="92" t="s">
        <v>5</v>
      </c>
    </row>
    <row r="23" spans="1:2">
      <c r="A23" s="92" t="s">
        <v>264</v>
      </c>
      <c r="B23" s="92" t="s">
        <v>5</v>
      </c>
    </row>
    <row r="24" spans="1:2">
      <c r="A24" s="92" t="s">
        <v>265</v>
      </c>
      <c r="B24" s="92" t="s">
        <v>5</v>
      </c>
    </row>
    <row r="25" spans="1:2">
      <c r="A25" s="91" t="s">
        <v>266</v>
      </c>
      <c r="B25" s="91" t="s">
        <v>41</v>
      </c>
    </row>
    <row r="26" spans="1:2">
      <c r="A26" s="92" t="s">
        <v>302</v>
      </c>
      <c r="B26" s="92" t="s">
        <v>5</v>
      </c>
    </row>
    <row r="27" spans="1:2">
      <c r="A27" s="91" t="s">
        <v>1265</v>
      </c>
      <c r="B27" s="91" t="s">
        <v>41</v>
      </c>
    </row>
    <row r="28" spans="1:2">
      <c r="A28" s="91" t="s">
        <v>1266</v>
      </c>
      <c r="B28" s="91" t="s">
        <v>41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28"/>
  <sheetViews>
    <sheetView workbookViewId="0">
      <selection activeCell="B26" sqref="B26"/>
    </sheetView>
  </sheetViews>
  <sheetFormatPr baseColWidth="10" defaultRowHeight="15"/>
  <cols>
    <col min="1" max="1" width="14.5703125" bestFit="1" customWidth="1"/>
    <col min="2" max="2" width="39.42578125" bestFit="1" customWidth="1"/>
    <col min="3" max="3" width="59.85546875" bestFit="1" customWidth="1"/>
    <col min="4" max="4" width="24.85546875" style="101" hidden="1" customWidth="1"/>
  </cols>
  <sheetData>
    <row r="1" spans="1:4">
      <c r="A1" s="8" t="s">
        <v>0</v>
      </c>
      <c r="B1" s="8" t="s">
        <v>1281</v>
      </c>
      <c r="C1" s="8" t="s">
        <v>1282</v>
      </c>
      <c r="D1" s="8" t="s">
        <v>1283</v>
      </c>
    </row>
    <row r="2" spans="1:4">
      <c r="A2" s="109" t="s">
        <v>3</v>
      </c>
      <c r="B2" s="109" t="s">
        <v>1316</v>
      </c>
      <c r="C2" s="109" t="s">
        <v>1317</v>
      </c>
      <c r="D2" s="109" t="s">
        <v>5</v>
      </c>
    </row>
    <row r="3" spans="1:4">
      <c r="A3" s="109" t="s">
        <v>1</v>
      </c>
      <c r="B3" s="109" t="s">
        <v>1318</v>
      </c>
      <c r="C3" s="109" t="s">
        <v>1319</v>
      </c>
      <c r="D3" s="109" t="s">
        <v>41</v>
      </c>
    </row>
    <row r="4" spans="1:4">
      <c r="A4" s="109" t="s">
        <v>2</v>
      </c>
      <c r="B4" s="109" t="s">
        <v>1320</v>
      </c>
      <c r="C4" s="109" t="s">
        <v>1321</v>
      </c>
      <c r="D4" s="109" t="s">
        <v>5</v>
      </c>
    </row>
    <row r="5" spans="1:4">
      <c r="A5" s="109" t="s">
        <v>78</v>
      </c>
      <c r="B5" s="109" t="s">
        <v>1322</v>
      </c>
      <c r="C5" s="109" t="s">
        <v>1323</v>
      </c>
      <c r="D5" s="109" t="s">
        <v>5</v>
      </c>
    </row>
    <row r="6" spans="1:4">
      <c r="A6" s="109" t="s">
        <v>79</v>
      </c>
      <c r="B6" s="109" t="s">
        <v>1324</v>
      </c>
      <c r="C6" s="109" t="s">
        <v>1325</v>
      </c>
      <c r="D6" s="109" t="s">
        <v>5</v>
      </c>
    </row>
    <row r="7" spans="1:4">
      <c r="A7" s="109" t="s">
        <v>1263</v>
      </c>
      <c r="B7" s="109" t="s">
        <v>1326</v>
      </c>
      <c r="C7" s="109" t="s">
        <v>1327</v>
      </c>
      <c r="D7" s="109" t="s">
        <v>5</v>
      </c>
    </row>
    <row r="8" spans="1:4">
      <c r="A8" s="109" t="s">
        <v>105</v>
      </c>
      <c r="B8" s="109" t="s">
        <v>1328</v>
      </c>
      <c r="C8" s="109" t="s">
        <v>1329</v>
      </c>
      <c r="D8" s="109" t="s">
        <v>41</v>
      </c>
    </row>
    <row r="9" spans="1:4">
      <c r="A9" s="109" t="s">
        <v>106</v>
      </c>
      <c r="B9" s="109" t="s">
        <v>1330</v>
      </c>
      <c r="C9" s="109" t="s">
        <v>1331</v>
      </c>
      <c r="D9" s="109" t="s">
        <v>41</v>
      </c>
    </row>
    <row r="10" spans="1:4">
      <c r="A10" s="109" t="s">
        <v>107</v>
      </c>
      <c r="B10" s="109" t="s">
        <v>1332</v>
      </c>
      <c r="C10" s="109" t="s">
        <v>1333</v>
      </c>
      <c r="D10" s="109" t="s">
        <v>41</v>
      </c>
    </row>
    <row r="11" spans="1:4">
      <c r="A11" s="109" t="s">
        <v>142</v>
      </c>
      <c r="B11" s="109" t="s">
        <v>1334</v>
      </c>
      <c r="C11" s="109" t="s">
        <v>1335</v>
      </c>
      <c r="D11" s="109" t="s">
        <v>41</v>
      </c>
    </row>
    <row r="12" spans="1:4">
      <c r="A12" s="109" t="s">
        <v>1264</v>
      </c>
      <c r="B12" s="109" t="s">
        <v>1336</v>
      </c>
      <c r="C12" s="109" t="s">
        <v>1337</v>
      </c>
      <c r="D12" s="109" t="s">
        <v>5</v>
      </c>
    </row>
    <row r="13" spans="1:4">
      <c r="A13" s="109" t="s">
        <v>144</v>
      </c>
      <c r="B13" s="109" t="s">
        <v>1292</v>
      </c>
      <c r="C13" s="109" t="s">
        <v>1291</v>
      </c>
      <c r="D13" s="109" t="s">
        <v>41</v>
      </c>
    </row>
    <row r="14" spans="1:4">
      <c r="A14" s="109" t="s">
        <v>171</v>
      </c>
      <c r="B14" s="109" t="s">
        <v>1338</v>
      </c>
      <c r="C14" s="109" t="s">
        <v>1339</v>
      </c>
      <c r="D14" s="109" t="s">
        <v>41</v>
      </c>
    </row>
    <row r="15" spans="1:4">
      <c r="A15" s="109" t="s">
        <v>172</v>
      </c>
      <c r="B15" s="109" t="s">
        <v>1340</v>
      </c>
      <c r="C15" s="109" t="s">
        <v>1341</v>
      </c>
      <c r="D15" s="109" t="s">
        <v>5</v>
      </c>
    </row>
    <row r="16" spans="1:4">
      <c r="A16" s="109" t="s">
        <v>173</v>
      </c>
      <c r="B16" s="109" t="s">
        <v>1342</v>
      </c>
      <c r="C16" s="109" t="s">
        <v>1343</v>
      </c>
      <c r="D16" s="109" t="s">
        <v>5</v>
      </c>
    </row>
    <row r="17" spans="1:4">
      <c r="A17" s="109" t="s">
        <v>197</v>
      </c>
      <c r="B17" s="109" t="s">
        <v>1344</v>
      </c>
      <c r="C17" s="109" t="s">
        <v>1345</v>
      </c>
      <c r="D17" s="109" t="s">
        <v>1345</v>
      </c>
    </row>
    <row r="18" spans="1:4">
      <c r="A18" s="109" t="s">
        <v>199</v>
      </c>
      <c r="B18" s="109" t="s">
        <v>1346</v>
      </c>
      <c r="C18" s="109" t="s">
        <v>1347</v>
      </c>
      <c r="D18" s="109" t="s">
        <v>41</v>
      </c>
    </row>
    <row r="19" spans="1:4">
      <c r="A19" s="109" t="s">
        <v>198</v>
      </c>
      <c r="B19" s="109" t="s">
        <v>1348</v>
      </c>
      <c r="C19" s="109" t="s">
        <v>1349</v>
      </c>
      <c r="D19" s="109" t="s">
        <v>41</v>
      </c>
    </row>
    <row r="20" spans="1:4">
      <c r="A20" s="109" t="s">
        <v>229</v>
      </c>
      <c r="B20" s="109" t="s">
        <v>1350</v>
      </c>
      <c r="C20" s="109" t="s">
        <v>1351</v>
      </c>
      <c r="D20" s="109" t="s">
        <v>5</v>
      </c>
    </row>
    <row r="21" spans="1:4">
      <c r="A21" s="109" t="s">
        <v>230</v>
      </c>
      <c r="B21" s="109" t="s">
        <v>1307</v>
      </c>
      <c r="C21" s="109" t="s">
        <v>1306</v>
      </c>
      <c r="D21" s="109" t="s">
        <v>5</v>
      </c>
    </row>
    <row r="22" spans="1:4">
      <c r="A22" s="109" t="s">
        <v>231</v>
      </c>
      <c r="B22" s="109" t="s">
        <v>1352</v>
      </c>
      <c r="C22" s="109" t="s">
        <v>1353</v>
      </c>
      <c r="D22" s="109" t="s">
        <v>5</v>
      </c>
    </row>
    <row r="23" spans="1:4">
      <c r="A23" s="109" t="s">
        <v>264</v>
      </c>
      <c r="B23" s="109" t="s">
        <v>1354</v>
      </c>
      <c r="C23" s="109" t="s">
        <v>1355</v>
      </c>
      <c r="D23" s="109" t="s">
        <v>41</v>
      </c>
    </row>
    <row r="24" spans="1:4">
      <c r="A24" s="109" t="s">
        <v>265</v>
      </c>
      <c r="B24" s="109" t="s">
        <v>1308</v>
      </c>
      <c r="C24" s="109" t="s">
        <v>1305</v>
      </c>
      <c r="D24" s="109" t="s">
        <v>5</v>
      </c>
    </row>
    <row r="25" spans="1:4">
      <c r="A25" s="109" t="s">
        <v>266</v>
      </c>
      <c r="B25" s="109" t="s">
        <v>1356</v>
      </c>
      <c r="C25" s="109" t="s">
        <v>1357</v>
      </c>
      <c r="D25" s="109" t="s">
        <v>41</v>
      </c>
    </row>
    <row r="26" spans="1:4">
      <c r="A26" s="109" t="s">
        <v>302</v>
      </c>
      <c r="B26" s="118" t="s">
        <v>1358</v>
      </c>
      <c r="C26" s="119" t="s">
        <v>1359</v>
      </c>
      <c r="D26" s="109" t="s">
        <v>41</v>
      </c>
    </row>
    <row r="27" spans="1:4">
      <c r="A27" s="109" t="s">
        <v>1265</v>
      </c>
      <c r="B27" s="109" t="s">
        <v>1360</v>
      </c>
      <c r="C27" s="109" t="s">
        <v>1361</v>
      </c>
      <c r="D27" s="109" t="s">
        <v>41</v>
      </c>
    </row>
    <row r="28" spans="1:4">
      <c r="A28" s="109" t="s">
        <v>1266</v>
      </c>
      <c r="B28" s="109" t="s">
        <v>1362</v>
      </c>
      <c r="C28" s="109" t="s">
        <v>1363</v>
      </c>
      <c r="D28" s="109" t="s">
        <v>41</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1:FE480"/>
  <sheetViews>
    <sheetView workbookViewId="0">
      <pane ySplit="1500" activePane="bottomLeft"/>
      <selection activeCell="FA4" sqref="FA4"/>
      <selection pane="bottomLeft" activeCell="J226" sqref="J226"/>
    </sheetView>
  </sheetViews>
  <sheetFormatPr baseColWidth="10" defaultRowHeight="15"/>
  <cols>
    <col min="1" max="1" width="73" bestFit="1" customWidth="1"/>
    <col min="2" max="2" width="23.5703125" bestFit="1" customWidth="1"/>
    <col min="3" max="3" width="10.42578125" style="89" bestFit="1" customWidth="1"/>
    <col min="4" max="4" width="16.7109375" bestFit="1" customWidth="1"/>
    <col min="5" max="5" width="14.42578125" bestFit="1" customWidth="1"/>
    <col min="7" max="7" width="29.140625" bestFit="1" customWidth="1"/>
    <col min="8" max="8" width="15.140625" bestFit="1" customWidth="1"/>
    <col min="10" max="10" width="16.7109375" bestFit="1" customWidth="1"/>
    <col min="11" max="11" width="14.42578125" bestFit="1" customWidth="1"/>
    <col min="13" max="13" width="45" bestFit="1" customWidth="1"/>
    <col min="16" max="16" width="16.7109375" bestFit="1" customWidth="1"/>
    <col min="17" max="17" width="14.42578125" bestFit="1" customWidth="1"/>
    <col min="19" max="19" width="30.7109375" bestFit="1" customWidth="1"/>
    <col min="22" max="22" width="16.7109375" bestFit="1" customWidth="1"/>
    <col min="23" max="23" width="14.42578125" bestFit="1" customWidth="1"/>
    <col min="25" max="25" width="32.140625" bestFit="1" customWidth="1"/>
    <col min="28" max="28" width="16.7109375" bestFit="1" customWidth="1"/>
    <col min="29" max="29" width="14.42578125" bestFit="1" customWidth="1"/>
    <col min="31" max="31" width="26.5703125" bestFit="1" customWidth="1"/>
    <col min="34" max="34" width="16.7109375" bestFit="1" customWidth="1"/>
    <col min="35" max="35" width="14.42578125" bestFit="1" customWidth="1"/>
    <col min="37" max="37" width="25" bestFit="1" customWidth="1"/>
    <col min="39" max="39" width="7" bestFit="1" customWidth="1"/>
    <col min="40" max="40" width="16.7109375" bestFit="1" customWidth="1"/>
    <col min="41" max="41" width="14.42578125" bestFit="1" customWidth="1"/>
    <col min="43" max="43" width="29.42578125" bestFit="1" customWidth="1"/>
    <col min="44" max="44" width="19.140625" bestFit="1" customWidth="1"/>
    <col min="46" max="46" width="16.7109375" bestFit="1" customWidth="1"/>
    <col min="47" max="47" width="14.42578125" bestFit="1" customWidth="1"/>
    <col min="49" max="49" width="22.5703125" bestFit="1" customWidth="1"/>
    <col min="52" max="52" width="16.7109375" bestFit="1" customWidth="1"/>
    <col min="53" max="53" width="14.42578125" bestFit="1" customWidth="1"/>
    <col min="55" max="55" width="47" bestFit="1" customWidth="1"/>
    <col min="56" max="56" width="8.85546875" bestFit="1" customWidth="1"/>
    <col min="57" max="57" width="7" bestFit="1" customWidth="1"/>
    <col min="58" max="58" width="16.7109375" bestFit="1" customWidth="1"/>
    <col min="59" max="59" width="14.42578125" bestFit="1" customWidth="1"/>
    <col min="61" max="61" width="30.7109375" bestFit="1" customWidth="1"/>
    <col min="64" max="64" width="16.7109375" bestFit="1" customWidth="1"/>
    <col min="65" max="65" width="14.42578125" bestFit="1" customWidth="1"/>
    <col min="67" max="67" width="65.140625" bestFit="1" customWidth="1"/>
    <col min="69" max="69" width="7" bestFit="1" customWidth="1"/>
    <col min="70" max="70" width="16.7109375" bestFit="1" customWidth="1"/>
    <col min="71" max="71" width="14.42578125" bestFit="1" customWidth="1"/>
    <col min="73" max="73" width="38.140625" bestFit="1" customWidth="1"/>
    <col min="76" max="76" width="16.7109375" bestFit="1" customWidth="1"/>
    <col min="77" max="77" width="14.42578125" bestFit="1" customWidth="1"/>
    <col min="79" max="79" width="39.85546875" bestFit="1" customWidth="1"/>
    <col min="80" max="80" width="8.85546875" bestFit="1" customWidth="1"/>
    <col min="82" max="82" width="16.7109375" bestFit="1" customWidth="1"/>
    <col min="83" max="83" width="14.42578125" bestFit="1" customWidth="1"/>
    <col min="85" max="85" width="72.42578125" bestFit="1" customWidth="1"/>
    <col min="86" max="86" width="10.7109375" bestFit="1" customWidth="1"/>
    <col min="87" max="87" width="7" bestFit="1" customWidth="1"/>
    <col min="88" max="88" width="16.7109375" bestFit="1" customWidth="1"/>
    <col min="89" max="89" width="14.42578125" bestFit="1" customWidth="1"/>
    <col min="91" max="91" width="72.42578125" bestFit="1" customWidth="1"/>
    <col min="92" max="92" width="8.85546875" bestFit="1" customWidth="1"/>
    <col min="94" max="94" width="16.7109375" bestFit="1" customWidth="1"/>
    <col min="95" max="95" width="14.42578125" bestFit="1" customWidth="1"/>
    <col min="97" max="97" width="40.42578125" bestFit="1" customWidth="1"/>
    <col min="98" max="98" width="13" bestFit="1" customWidth="1"/>
    <col min="100" max="100" width="16.7109375" bestFit="1" customWidth="1"/>
    <col min="101" max="101" width="14.42578125" bestFit="1" customWidth="1"/>
    <col min="103" max="103" width="57.85546875" bestFit="1" customWidth="1"/>
    <col min="104" max="104" width="9.140625" bestFit="1" customWidth="1"/>
    <col min="105" max="105" width="7" bestFit="1" customWidth="1"/>
    <col min="106" max="106" width="16.7109375" bestFit="1" customWidth="1"/>
    <col min="107" max="107" width="14.42578125" bestFit="1" customWidth="1"/>
    <col min="109" max="109" width="44" bestFit="1" customWidth="1"/>
    <col min="110" max="110" width="12" bestFit="1" customWidth="1"/>
    <col min="111" max="111" width="7" bestFit="1" customWidth="1"/>
    <col min="112" max="112" width="16.7109375" bestFit="1" customWidth="1"/>
    <col min="113" max="113" width="14.42578125" bestFit="1" customWidth="1"/>
    <col min="115" max="115" width="52.28515625" bestFit="1" customWidth="1"/>
    <col min="116" max="116" width="8.85546875" bestFit="1" customWidth="1"/>
    <col min="117" max="117" width="7" bestFit="1" customWidth="1"/>
    <col min="118" max="118" width="16.7109375" bestFit="1" customWidth="1"/>
    <col min="119" max="119" width="14.42578125" bestFit="1" customWidth="1"/>
    <col min="121" max="121" width="45" bestFit="1" customWidth="1"/>
    <col min="122" max="122" width="9.42578125" bestFit="1" customWidth="1"/>
    <col min="123" max="123" width="7" bestFit="1" customWidth="1"/>
    <col min="124" max="124" width="16.7109375" bestFit="1" customWidth="1"/>
    <col min="125" max="125" width="14.42578125" bestFit="1" customWidth="1"/>
    <col min="127" max="127" width="41.28515625" bestFit="1" customWidth="1"/>
    <col min="128" max="128" width="12" bestFit="1" customWidth="1"/>
    <col min="130" max="130" width="16.7109375" bestFit="1" customWidth="1"/>
    <col min="131" max="131" width="14.42578125" bestFit="1" customWidth="1"/>
    <col min="133" max="133" width="41.140625" bestFit="1" customWidth="1"/>
    <col min="134" max="134" width="8.85546875" bestFit="1" customWidth="1"/>
    <col min="135" max="135" width="7" bestFit="1" customWidth="1"/>
    <col min="136" max="136" width="16.7109375" bestFit="1" customWidth="1"/>
    <col min="137" max="137" width="14.42578125" bestFit="1" customWidth="1"/>
    <col min="139" max="139" width="61.28515625" bestFit="1" customWidth="1"/>
    <col min="140" max="140" width="9.85546875" bestFit="1" customWidth="1"/>
    <col min="141" max="141" width="7" bestFit="1" customWidth="1"/>
    <col min="142" max="142" width="16.7109375" bestFit="1" customWidth="1"/>
    <col min="143" max="143" width="14.42578125" bestFit="1" customWidth="1"/>
    <col min="145" max="145" width="28.42578125" bestFit="1" customWidth="1"/>
    <col min="147" max="147" width="7" bestFit="1" customWidth="1"/>
    <col min="148" max="148" width="16.7109375" bestFit="1" customWidth="1"/>
    <col min="149" max="149" width="14.42578125" bestFit="1" customWidth="1"/>
    <col min="151" max="151" width="51.5703125" bestFit="1" customWidth="1"/>
    <col min="152" max="152" width="22.28515625" bestFit="1" customWidth="1"/>
    <col min="154" max="154" width="16.7109375" bestFit="1" customWidth="1"/>
    <col min="155" max="155" width="14.42578125" bestFit="1" customWidth="1"/>
    <col min="157" max="157" width="51.5703125" bestFit="1" customWidth="1"/>
    <col min="158" max="158" width="8.85546875" bestFit="1" customWidth="1"/>
    <col min="159" max="159" width="7" bestFit="1" customWidth="1"/>
    <col min="160" max="160" width="16.7109375" bestFit="1" customWidth="1"/>
    <col min="161" max="161" width="14.42578125" bestFit="1" customWidth="1"/>
  </cols>
  <sheetData>
    <row r="1" spans="1:161">
      <c r="A1" s="92" t="s">
        <v>594</v>
      </c>
      <c r="B1" s="92" t="s">
        <v>1034</v>
      </c>
      <c r="G1" s="92" t="s">
        <v>594</v>
      </c>
      <c r="H1" s="92" t="s">
        <v>265</v>
      </c>
      <c r="I1" s="89"/>
      <c r="M1" s="92" t="s">
        <v>594</v>
      </c>
      <c r="N1" s="92" t="s">
        <v>3</v>
      </c>
      <c r="S1" s="92" t="s">
        <v>594</v>
      </c>
      <c r="T1" s="92" t="s">
        <v>1</v>
      </c>
      <c r="Y1" s="92" t="s">
        <v>594</v>
      </c>
      <c r="Z1" s="92" t="s">
        <v>2</v>
      </c>
      <c r="AE1" s="92" t="s">
        <v>594</v>
      </c>
      <c r="AF1" s="92" t="s">
        <v>78</v>
      </c>
      <c r="AK1" s="92" t="s">
        <v>594</v>
      </c>
      <c r="AL1" s="92" t="s">
        <v>79</v>
      </c>
      <c r="AQ1" s="92" t="s">
        <v>594</v>
      </c>
      <c r="AR1" s="92" t="s">
        <v>80</v>
      </c>
      <c r="AW1" s="92" t="s">
        <v>594</v>
      </c>
      <c r="AX1" s="92" t="s">
        <v>106</v>
      </c>
      <c r="BC1" s="92" t="s">
        <v>594</v>
      </c>
      <c r="BD1" s="92" t="s">
        <v>107</v>
      </c>
      <c r="BI1" s="92" t="s">
        <v>594</v>
      </c>
      <c r="BJ1" s="92" t="s">
        <v>142</v>
      </c>
      <c r="BO1" s="92" t="s">
        <v>594</v>
      </c>
      <c r="BP1" s="92" t="s">
        <v>1264</v>
      </c>
      <c r="BU1" s="92" t="s">
        <v>594</v>
      </c>
      <c r="BV1" s="92" t="s">
        <v>144</v>
      </c>
      <c r="CA1" s="92" t="s">
        <v>594</v>
      </c>
      <c r="CB1" s="7" t="s">
        <v>171</v>
      </c>
      <c r="CG1" s="92" t="s">
        <v>594</v>
      </c>
      <c r="CH1" s="92" t="s">
        <v>172</v>
      </c>
      <c r="CM1" s="92" t="s">
        <v>594</v>
      </c>
      <c r="CN1" s="92" t="s">
        <v>173</v>
      </c>
      <c r="CS1" s="92" t="s">
        <v>594</v>
      </c>
      <c r="CT1" s="92" t="s">
        <v>197</v>
      </c>
      <c r="CY1" s="92" t="s">
        <v>594</v>
      </c>
      <c r="CZ1" s="92" t="s">
        <v>199</v>
      </c>
      <c r="DE1" s="92" t="s">
        <v>594</v>
      </c>
      <c r="DF1" s="92" t="s">
        <v>198</v>
      </c>
      <c r="DK1" s="92" t="s">
        <v>594</v>
      </c>
      <c r="DL1" s="92" t="s">
        <v>229</v>
      </c>
      <c r="DQ1" s="92" t="s">
        <v>594</v>
      </c>
      <c r="DR1" s="92" t="s">
        <v>230</v>
      </c>
      <c r="DW1" s="92" t="s">
        <v>594</v>
      </c>
      <c r="DX1" s="92" t="s">
        <v>231</v>
      </c>
      <c r="EC1" s="92" t="s">
        <v>594</v>
      </c>
      <c r="ED1" s="92" t="s">
        <v>264</v>
      </c>
      <c r="EI1" s="92" t="s">
        <v>594</v>
      </c>
      <c r="EJ1" s="92" t="s">
        <v>266</v>
      </c>
      <c r="EO1" s="92" t="s">
        <v>594</v>
      </c>
      <c r="EP1" s="92" t="s">
        <v>302</v>
      </c>
      <c r="EU1" s="92" t="s">
        <v>594</v>
      </c>
      <c r="EV1" s="92" t="s">
        <v>1265</v>
      </c>
      <c r="FA1" s="92" t="s">
        <v>594</v>
      </c>
      <c r="FB1" s="92" t="s">
        <v>1266</v>
      </c>
    </row>
    <row r="2" spans="1:161">
      <c r="I2" s="89"/>
    </row>
    <row r="3" spans="1:161">
      <c r="A3" s="1" t="s">
        <v>1035</v>
      </c>
      <c r="B3" s="1" t="s">
        <v>1047</v>
      </c>
      <c r="C3" s="1" t="s">
        <v>1048</v>
      </c>
      <c r="D3" s="1" t="s">
        <v>1287</v>
      </c>
      <c r="E3" s="1" t="s">
        <v>1288</v>
      </c>
      <c r="G3" s="1" t="s">
        <v>1035</v>
      </c>
      <c r="H3" s="1" t="s">
        <v>1047</v>
      </c>
      <c r="I3" s="1" t="s">
        <v>1048</v>
      </c>
      <c r="J3" s="1" t="s">
        <v>1287</v>
      </c>
      <c r="K3" s="1" t="s">
        <v>1288</v>
      </c>
      <c r="M3" s="1" t="s">
        <v>1035</v>
      </c>
      <c r="N3" s="1" t="s">
        <v>1047</v>
      </c>
      <c r="O3" s="1" t="s">
        <v>1048</v>
      </c>
      <c r="P3" s="1" t="s">
        <v>1287</v>
      </c>
      <c r="Q3" s="1" t="s">
        <v>1288</v>
      </c>
      <c r="S3" s="1" t="s">
        <v>1035</v>
      </c>
      <c r="T3" s="1" t="s">
        <v>1047</v>
      </c>
      <c r="U3" s="1" t="s">
        <v>1048</v>
      </c>
      <c r="V3" s="1" t="s">
        <v>1287</v>
      </c>
      <c r="W3" s="1" t="s">
        <v>1288</v>
      </c>
      <c r="Y3" s="1" t="s">
        <v>1035</v>
      </c>
      <c r="Z3" s="1" t="s">
        <v>1047</v>
      </c>
      <c r="AA3" s="1" t="s">
        <v>1048</v>
      </c>
      <c r="AB3" s="1" t="s">
        <v>1287</v>
      </c>
      <c r="AC3" s="1" t="s">
        <v>1288</v>
      </c>
      <c r="AE3" s="1" t="s">
        <v>1035</v>
      </c>
      <c r="AF3" s="1" t="s">
        <v>1047</v>
      </c>
      <c r="AG3" s="1" t="s">
        <v>1048</v>
      </c>
      <c r="AH3" s="1" t="s">
        <v>1287</v>
      </c>
      <c r="AI3" s="1" t="s">
        <v>1288</v>
      </c>
      <c r="AK3" s="1" t="s">
        <v>1035</v>
      </c>
      <c r="AL3" s="1" t="s">
        <v>1047</v>
      </c>
      <c r="AM3" s="1" t="s">
        <v>1048</v>
      </c>
      <c r="AN3" s="1" t="s">
        <v>1287</v>
      </c>
      <c r="AO3" s="1" t="s">
        <v>1288</v>
      </c>
      <c r="AQ3" s="1" t="s">
        <v>1035</v>
      </c>
      <c r="AR3" s="1" t="s">
        <v>1047</v>
      </c>
      <c r="AS3" s="1" t="s">
        <v>1048</v>
      </c>
      <c r="AT3" s="1" t="s">
        <v>1287</v>
      </c>
      <c r="AU3" s="1" t="s">
        <v>1288</v>
      </c>
      <c r="AW3" s="1" t="s">
        <v>1035</v>
      </c>
      <c r="AX3" s="1" t="s">
        <v>1047</v>
      </c>
      <c r="AY3" s="1" t="s">
        <v>1048</v>
      </c>
      <c r="AZ3" s="1" t="s">
        <v>1287</v>
      </c>
      <c r="BA3" s="1" t="s">
        <v>1288</v>
      </c>
      <c r="BC3" s="1" t="s">
        <v>1035</v>
      </c>
      <c r="BD3" s="1" t="s">
        <v>1047</v>
      </c>
      <c r="BE3" s="1" t="s">
        <v>1048</v>
      </c>
      <c r="BF3" s="1" t="s">
        <v>1287</v>
      </c>
      <c r="BG3" s="1" t="s">
        <v>1288</v>
      </c>
      <c r="BI3" s="1" t="s">
        <v>1035</v>
      </c>
      <c r="BJ3" s="1" t="s">
        <v>1047</v>
      </c>
      <c r="BK3" s="1" t="s">
        <v>1048</v>
      </c>
      <c r="BL3" s="1" t="s">
        <v>1287</v>
      </c>
      <c r="BM3" s="1" t="s">
        <v>1288</v>
      </c>
      <c r="BO3" s="1" t="s">
        <v>1035</v>
      </c>
      <c r="BP3" s="1" t="s">
        <v>1047</v>
      </c>
      <c r="BQ3" s="1" t="s">
        <v>1048</v>
      </c>
      <c r="BR3" s="1" t="s">
        <v>1287</v>
      </c>
      <c r="BS3" s="1" t="s">
        <v>1288</v>
      </c>
      <c r="BU3" s="1" t="s">
        <v>1035</v>
      </c>
      <c r="BV3" s="1" t="s">
        <v>1047</v>
      </c>
      <c r="BW3" s="1" t="s">
        <v>1048</v>
      </c>
      <c r="BX3" s="1" t="s">
        <v>1287</v>
      </c>
      <c r="BY3" s="1" t="s">
        <v>1288</v>
      </c>
      <c r="CA3" s="1" t="s">
        <v>1035</v>
      </c>
      <c r="CB3" s="1" t="s">
        <v>1047</v>
      </c>
      <c r="CC3" s="1" t="s">
        <v>1048</v>
      </c>
      <c r="CD3" s="1" t="s">
        <v>1287</v>
      </c>
      <c r="CE3" s="1" t="s">
        <v>1288</v>
      </c>
      <c r="CG3" s="1" t="s">
        <v>1035</v>
      </c>
      <c r="CH3" s="1" t="s">
        <v>1047</v>
      </c>
      <c r="CI3" s="1" t="s">
        <v>1048</v>
      </c>
      <c r="CJ3" s="1" t="s">
        <v>1287</v>
      </c>
      <c r="CK3" s="1" t="s">
        <v>1288</v>
      </c>
      <c r="CM3" s="1" t="s">
        <v>1035</v>
      </c>
      <c r="CN3" s="1" t="s">
        <v>1047</v>
      </c>
      <c r="CO3" s="1" t="s">
        <v>1048</v>
      </c>
      <c r="CP3" s="1" t="s">
        <v>1287</v>
      </c>
      <c r="CQ3" s="1" t="s">
        <v>1288</v>
      </c>
      <c r="CS3" s="1" t="s">
        <v>1035</v>
      </c>
      <c r="CT3" s="1" t="s">
        <v>1047</v>
      </c>
      <c r="CU3" s="1" t="s">
        <v>1048</v>
      </c>
      <c r="CV3" s="1" t="s">
        <v>1287</v>
      </c>
      <c r="CW3" s="1" t="s">
        <v>1288</v>
      </c>
      <c r="CY3" s="1" t="s">
        <v>1035</v>
      </c>
      <c r="CZ3" s="1" t="s">
        <v>1047</v>
      </c>
      <c r="DA3" s="1" t="s">
        <v>1048</v>
      </c>
      <c r="DB3" s="1" t="s">
        <v>1287</v>
      </c>
      <c r="DC3" s="1" t="s">
        <v>1288</v>
      </c>
      <c r="DE3" s="1" t="s">
        <v>1035</v>
      </c>
      <c r="DF3" s="1" t="s">
        <v>1047</v>
      </c>
      <c r="DG3" s="1" t="s">
        <v>1048</v>
      </c>
      <c r="DH3" s="1" t="s">
        <v>1287</v>
      </c>
      <c r="DI3" s="1" t="s">
        <v>1288</v>
      </c>
      <c r="DK3" s="1" t="s">
        <v>1035</v>
      </c>
      <c r="DL3" s="1" t="s">
        <v>1047</v>
      </c>
      <c r="DM3" s="1" t="s">
        <v>1048</v>
      </c>
      <c r="DN3" s="1" t="s">
        <v>1287</v>
      </c>
      <c r="DO3" s="1" t="s">
        <v>1288</v>
      </c>
      <c r="DQ3" s="1" t="s">
        <v>1035</v>
      </c>
      <c r="DR3" s="1" t="s">
        <v>1047</v>
      </c>
      <c r="DS3" s="1" t="s">
        <v>1048</v>
      </c>
      <c r="DT3" s="1" t="s">
        <v>1287</v>
      </c>
      <c r="DU3" s="1" t="s">
        <v>1288</v>
      </c>
      <c r="DW3" s="1" t="s">
        <v>1035</v>
      </c>
      <c r="DX3" s="1" t="s">
        <v>1047</v>
      </c>
      <c r="DY3" s="1" t="s">
        <v>1048</v>
      </c>
      <c r="DZ3" s="1" t="s">
        <v>1287</v>
      </c>
      <c r="EA3" s="1" t="s">
        <v>1288</v>
      </c>
      <c r="EC3" s="1" t="s">
        <v>1035</v>
      </c>
      <c r="ED3" s="1" t="s">
        <v>1047</v>
      </c>
      <c r="EE3" s="1" t="s">
        <v>1048</v>
      </c>
      <c r="EF3" s="1" t="s">
        <v>1287</v>
      </c>
      <c r="EG3" s="1" t="s">
        <v>1288</v>
      </c>
      <c r="EI3" s="1" t="s">
        <v>1035</v>
      </c>
      <c r="EJ3" s="1" t="s">
        <v>1047</v>
      </c>
      <c r="EK3" s="1" t="s">
        <v>1048</v>
      </c>
      <c r="EL3" s="1" t="s">
        <v>1287</v>
      </c>
      <c r="EM3" s="1" t="s">
        <v>1288</v>
      </c>
      <c r="EO3" s="1" t="s">
        <v>1035</v>
      </c>
      <c r="EP3" s="1" t="s">
        <v>1047</v>
      </c>
      <c r="EQ3" s="1" t="s">
        <v>1048</v>
      </c>
      <c r="ER3" s="1" t="s">
        <v>1287</v>
      </c>
      <c r="ES3" s="1" t="s">
        <v>1288</v>
      </c>
      <c r="EU3" s="1" t="s">
        <v>1035</v>
      </c>
      <c r="EV3" s="1" t="s">
        <v>1047</v>
      </c>
      <c r="EW3" s="1" t="s">
        <v>1048</v>
      </c>
      <c r="EX3" s="1" t="s">
        <v>1287</v>
      </c>
      <c r="EY3" s="1" t="s">
        <v>1288</v>
      </c>
      <c r="FA3" s="1" t="s">
        <v>1035</v>
      </c>
      <c r="FB3" s="1" t="s">
        <v>1047</v>
      </c>
      <c r="FC3" s="1" t="s">
        <v>1048</v>
      </c>
      <c r="FD3" s="1" t="s">
        <v>1287</v>
      </c>
      <c r="FE3" s="1" t="s">
        <v>1288</v>
      </c>
    </row>
    <row r="4" spans="1:161">
      <c r="A4" s="90" t="s">
        <v>1036</v>
      </c>
      <c r="B4" s="69" t="s">
        <v>1037</v>
      </c>
      <c r="C4" s="90" t="s">
        <v>1038</v>
      </c>
      <c r="D4" s="39"/>
      <c r="E4" s="39"/>
      <c r="G4" s="39" t="s">
        <v>1293</v>
      </c>
      <c r="H4" s="39"/>
      <c r="I4" s="39"/>
      <c r="J4" s="39"/>
      <c r="K4" s="39"/>
      <c r="M4" s="39" t="s">
        <v>1572</v>
      </c>
      <c r="N4" s="39"/>
      <c r="O4" s="39"/>
      <c r="P4" s="39"/>
      <c r="Q4" s="39"/>
      <c r="S4" s="39" t="s">
        <v>1579</v>
      </c>
      <c r="T4" s="39"/>
      <c r="U4" s="39"/>
      <c r="V4" s="39"/>
      <c r="W4" s="39"/>
      <c r="Y4" s="39" t="s">
        <v>1592</v>
      </c>
      <c r="Z4" s="39"/>
      <c r="AA4" s="39"/>
      <c r="AB4" s="39"/>
      <c r="AC4" s="39"/>
      <c r="AE4" s="39" t="s">
        <v>1600</v>
      </c>
      <c r="AF4" s="39"/>
      <c r="AG4" s="39"/>
      <c r="AH4" s="39"/>
      <c r="AI4" s="39"/>
      <c r="AK4" s="39" t="s">
        <v>1606</v>
      </c>
      <c r="AL4" s="39"/>
      <c r="AM4" s="39"/>
      <c r="AN4" s="39"/>
      <c r="AO4" s="39"/>
      <c r="AQ4" s="39" t="s">
        <v>1610</v>
      </c>
      <c r="AR4" s="39"/>
      <c r="AS4" s="39"/>
      <c r="AT4" s="39"/>
      <c r="AU4" s="39"/>
      <c r="AW4" s="39" t="s">
        <v>1614</v>
      </c>
      <c r="AX4" s="39"/>
      <c r="AY4" s="39"/>
      <c r="AZ4" s="39"/>
      <c r="BA4" s="39"/>
      <c r="BC4" s="39" t="s">
        <v>1622</v>
      </c>
      <c r="BD4" s="147"/>
      <c r="BE4" s="147"/>
      <c r="BF4" s="147"/>
      <c r="BG4" s="147"/>
      <c r="BI4" s="39" t="s">
        <v>1661</v>
      </c>
      <c r="BJ4" s="39"/>
      <c r="BK4" s="39"/>
      <c r="BL4" s="39"/>
      <c r="BM4" s="39"/>
      <c r="BO4" s="39" t="s">
        <v>1668</v>
      </c>
      <c r="BP4" s="39"/>
      <c r="BQ4" s="39"/>
      <c r="BR4" s="39"/>
      <c r="BS4" s="39"/>
      <c r="BU4" s="148" t="s">
        <v>1696</v>
      </c>
      <c r="BV4" s="39"/>
      <c r="BW4" s="39"/>
      <c r="BX4" s="39"/>
      <c r="BY4" s="39"/>
      <c r="CA4" s="39" t="s">
        <v>1756</v>
      </c>
      <c r="CB4" s="39"/>
      <c r="CC4" s="39"/>
      <c r="CD4" s="39"/>
      <c r="CE4" s="39"/>
      <c r="CG4" s="39" t="s">
        <v>1775</v>
      </c>
      <c r="CH4" s="39"/>
      <c r="CI4" s="39"/>
      <c r="CJ4" s="39"/>
      <c r="CK4" s="39"/>
      <c r="CM4" s="39" t="s">
        <v>1858</v>
      </c>
      <c r="CN4" s="39"/>
      <c r="CO4" s="39"/>
      <c r="CP4" s="39"/>
      <c r="CQ4" s="39"/>
      <c r="CS4" s="39" t="s">
        <v>1859</v>
      </c>
      <c r="CT4" s="39"/>
      <c r="CU4" s="39"/>
      <c r="CV4" s="39"/>
      <c r="CW4" s="39"/>
      <c r="CY4" s="39" t="s">
        <v>1874</v>
      </c>
      <c r="CZ4" s="39"/>
      <c r="DA4" s="39"/>
      <c r="DB4" s="39"/>
      <c r="DC4" s="39"/>
      <c r="DE4" s="39" t="s">
        <v>1880</v>
      </c>
      <c r="DF4" s="39"/>
      <c r="DG4" s="39"/>
      <c r="DH4" s="39"/>
      <c r="DI4" s="39"/>
      <c r="DK4" s="39" t="s">
        <v>1896</v>
      </c>
      <c r="DL4" s="39"/>
      <c r="DM4" s="39"/>
      <c r="DN4" s="39"/>
      <c r="DO4" s="39"/>
      <c r="DQ4" s="39" t="s">
        <v>1923</v>
      </c>
      <c r="DR4" s="39"/>
      <c r="DS4" s="39"/>
      <c r="DT4" s="39"/>
      <c r="DU4" s="39"/>
      <c r="DW4" s="39" t="s">
        <v>1940</v>
      </c>
      <c r="DX4" s="39"/>
      <c r="DY4" s="39"/>
      <c r="DZ4" s="39"/>
      <c r="EA4" s="39"/>
      <c r="EC4" s="39" t="s">
        <v>1961</v>
      </c>
      <c r="ED4" s="39"/>
      <c r="EE4" s="39"/>
      <c r="EF4" s="39"/>
      <c r="EG4" s="39"/>
      <c r="EI4" s="39" t="s">
        <v>1967</v>
      </c>
      <c r="EJ4" s="39"/>
      <c r="EK4" s="39"/>
      <c r="EL4" s="39"/>
      <c r="EM4" s="39"/>
      <c r="EO4" s="39" t="s">
        <v>2003</v>
      </c>
      <c r="EP4" s="39"/>
      <c r="EQ4" s="39"/>
      <c r="ER4" s="39"/>
      <c r="ES4" s="39"/>
      <c r="EU4" s="39" t="s">
        <v>2018</v>
      </c>
      <c r="EV4" s="39"/>
      <c r="EW4" s="39"/>
      <c r="EX4" s="39"/>
      <c r="EY4" s="39"/>
      <c r="FA4" s="39" t="s">
        <v>2018</v>
      </c>
      <c r="FB4" s="39"/>
      <c r="FC4" s="39"/>
      <c r="FD4" s="39"/>
      <c r="FE4" s="39"/>
    </row>
    <row r="5" spans="1:161">
      <c r="A5" s="69" t="s">
        <v>1049</v>
      </c>
      <c r="B5" s="69" t="s">
        <v>1039</v>
      </c>
      <c r="C5" s="90" t="s">
        <v>1038</v>
      </c>
      <c r="D5" s="39"/>
      <c r="E5" s="39"/>
      <c r="G5" s="39" t="s">
        <v>1294</v>
      </c>
      <c r="H5" s="39"/>
      <c r="I5" s="39"/>
      <c r="J5" s="39"/>
      <c r="K5" s="39"/>
      <c r="M5" s="39" t="s">
        <v>1573</v>
      </c>
      <c r="N5" s="39"/>
      <c r="O5" s="39"/>
      <c r="P5" s="39"/>
      <c r="Q5" s="39"/>
      <c r="S5" s="39" t="s">
        <v>1580</v>
      </c>
      <c r="T5" s="39"/>
      <c r="U5" s="39"/>
      <c r="V5" s="39"/>
      <c r="W5" s="39"/>
      <c r="Y5" s="39" t="s">
        <v>1593</v>
      </c>
      <c r="Z5" s="39"/>
      <c r="AA5" s="39"/>
      <c r="AB5" s="39"/>
      <c r="AC5" s="39"/>
      <c r="AE5" s="39" t="s">
        <v>1601</v>
      </c>
      <c r="AF5" s="39"/>
      <c r="AG5" s="39"/>
      <c r="AH5" s="39"/>
      <c r="AI5" s="39"/>
      <c r="AK5" s="39" t="s">
        <v>1607</v>
      </c>
      <c r="AL5" s="39"/>
      <c r="AM5" s="39"/>
      <c r="AN5" s="39"/>
      <c r="AO5" s="39"/>
      <c r="AQ5" s="39" t="s">
        <v>1611</v>
      </c>
      <c r="AR5" s="39"/>
      <c r="AS5" s="39"/>
      <c r="AT5" s="39"/>
      <c r="AU5" s="39"/>
      <c r="AW5" s="39" t="s">
        <v>1615</v>
      </c>
      <c r="AX5" s="39"/>
      <c r="AY5" s="39"/>
      <c r="AZ5" s="39"/>
      <c r="BA5" s="39"/>
      <c r="BC5" s="39" t="s">
        <v>1623</v>
      </c>
      <c r="BD5" s="147"/>
      <c r="BE5" s="147"/>
      <c r="BF5" s="147"/>
      <c r="BG5" s="147"/>
      <c r="BI5" s="39" t="s">
        <v>1662</v>
      </c>
      <c r="BJ5" s="39"/>
      <c r="BK5" s="39"/>
      <c r="BL5" s="39"/>
      <c r="BM5" s="39"/>
      <c r="BO5" s="39" t="s">
        <v>1669</v>
      </c>
      <c r="BP5" s="39"/>
      <c r="BQ5" s="39"/>
      <c r="BR5" s="39"/>
      <c r="BS5" s="39"/>
      <c r="BU5" s="149" t="s">
        <v>1697</v>
      </c>
      <c r="BV5" s="39"/>
      <c r="BW5" s="39"/>
      <c r="BX5" s="39"/>
      <c r="BY5" s="39"/>
      <c r="CA5" s="39" t="s">
        <v>1757</v>
      </c>
      <c r="CB5" s="39"/>
      <c r="CC5" s="39"/>
      <c r="CD5" s="39"/>
      <c r="CE5" s="39"/>
      <c r="CG5" s="39" t="s">
        <v>1776</v>
      </c>
      <c r="CH5" s="39"/>
      <c r="CI5" s="39"/>
      <c r="CJ5" s="39"/>
      <c r="CK5" s="39"/>
      <c r="CM5" s="39" t="s">
        <v>1814</v>
      </c>
      <c r="CN5" s="39"/>
      <c r="CO5" s="39"/>
      <c r="CP5" s="39"/>
      <c r="CQ5" s="39"/>
      <c r="CS5" s="39" t="s">
        <v>1860</v>
      </c>
      <c r="CT5" s="39"/>
      <c r="CU5" s="39"/>
      <c r="CV5" s="39"/>
      <c r="CW5" s="39"/>
      <c r="CY5" s="39" t="s">
        <v>1875</v>
      </c>
      <c r="CZ5" s="39"/>
      <c r="DA5" s="39"/>
      <c r="DB5" s="39"/>
      <c r="DC5" s="39"/>
      <c r="DE5" s="39" t="s">
        <v>1881</v>
      </c>
      <c r="DF5" s="39"/>
      <c r="DG5" s="39"/>
      <c r="DH5" s="39"/>
      <c r="DI5" s="39"/>
      <c r="DK5" s="39" t="s">
        <v>1897</v>
      </c>
      <c r="DL5" s="39"/>
      <c r="DM5" s="39"/>
      <c r="DN5" s="39"/>
      <c r="DO5" s="39"/>
      <c r="DQ5" s="39" t="s">
        <v>1924</v>
      </c>
      <c r="DR5" s="39"/>
      <c r="DS5" s="39"/>
      <c r="DT5" s="39"/>
      <c r="DU5" s="39"/>
      <c r="DW5" s="39" t="s">
        <v>1941</v>
      </c>
      <c r="DX5" s="39"/>
      <c r="DY5" s="39"/>
      <c r="DZ5" s="39"/>
      <c r="EA5" s="39"/>
      <c r="EC5" s="39" t="s">
        <v>1962</v>
      </c>
      <c r="ED5" s="39"/>
      <c r="EE5" s="39"/>
      <c r="EF5" s="39"/>
      <c r="EG5" s="39"/>
      <c r="EI5" s="39" t="s">
        <v>1968</v>
      </c>
      <c r="EJ5" s="39"/>
      <c r="EK5" s="39"/>
      <c r="EL5" s="39"/>
      <c r="EM5" s="39"/>
      <c r="EO5" s="94" t="s">
        <v>2004</v>
      </c>
      <c r="EP5" s="39"/>
      <c r="EQ5" s="39"/>
      <c r="ER5" s="39"/>
      <c r="ES5" s="39"/>
      <c r="EU5" s="39" t="s">
        <v>2019</v>
      </c>
      <c r="EV5" s="39"/>
      <c r="EW5" s="39"/>
      <c r="EX5" s="39"/>
      <c r="EY5" s="39"/>
      <c r="FA5" s="39" t="s">
        <v>2019</v>
      </c>
      <c r="FB5" s="39"/>
      <c r="FC5" s="39"/>
      <c r="FD5" s="39"/>
      <c r="FE5" s="39"/>
    </row>
    <row r="6" spans="1:161">
      <c r="A6" s="69" t="s">
        <v>1050</v>
      </c>
      <c r="B6" s="69" t="s">
        <v>1039</v>
      </c>
      <c r="C6" s="90" t="s">
        <v>1038</v>
      </c>
      <c r="D6" s="39"/>
      <c r="E6" s="39"/>
      <c r="G6" s="39" t="s">
        <v>1295</v>
      </c>
      <c r="H6" s="39"/>
      <c r="I6" s="39"/>
      <c r="J6" s="39"/>
      <c r="K6" s="39"/>
      <c r="M6" s="39" t="s">
        <v>1574</v>
      </c>
      <c r="N6" s="39"/>
      <c r="O6" s="39"/>
      <c r="P6" s="39"/>
      <c r="Q6" s="39"/>
      <c r="S6" s="39" t="s">
        <v>1581</v>
      </c>
      <c r="T6" s="39"/>
      <c r="U6" s="39"/>
      <c r="V6" s="39"/>
      <c r="W6" s="39"/>
      <c r="Y6" s="39" t="s">
        <v>1594</v>
      </c>
      <c r="Z6" s="39"/>
      <c r="AA6" s="39"/>
      <c r="AB6" s="39"/>
      <c r="AC6" s="39"/>
      <c r="AE6" s="39" t="s">
        <v>1602</v>
      </c>
      <c r="AF6" s="39"/>
      <c r="AG6" s="39"/>
      <c r="AH6" s="39"/>
      <c r="AI6" s="39"/>
      <c r="AK6" s="39" t="s">
        <v>1608</v>
      </c>
      <c r="AL6" s="39"/>
      <c r="AM6" s="39"/>
      <c r="AN6" s="39"/>
      <c r="AO6" s="39"/>
      <c r="AQ6" s="94" t="s">
        <v>1595</v>
      </c>
      <c r="AR6" s="39"/>
      <c r="AS6" s="39"/>
      <c r="AT6" s="39"/>
      <c r="AU6" s="39"/>
      <c r="AW6" s="39" t="s">
        <v>1616</v>
      </c>
      <c r="AX6" s="39"/>
      <c r="AY6" s="39"/>
      <c r="AZ6" s="39"/>
      <c r="BA6" s="39"/>
      <c r="BC6" s="39" t="s">
        <v>1624</v>
      </c>
      <c r="BD6" s="147"/>
      <c r="BE6" s="147"/>
      <c r="BF6" s="147"/>
      <c r="BG6" s="147"/>
      <c r="BI6" s="39" t="s">
        <v>1579</v>
      </c>
      <c r="BJ6" s="39"/>
      <c r="BK6" s="39"/>
      <c r="BL6" s="39"/>
      <c r="BM6" s="39"/>
      <c r="BO6" s="39" t="s">
        <v>1670</v>
      </c>
      <c r="BP6" s="39"/>
      <c r="BQ6" s="39"/>
      <c r="BR6" s="39"/>
      <c r="BS6" s="39"/>
      <c r="BU6" s="149" t="s">
        <v>1698</v>
      </c>
      <c r="BV6" s="39"/>
      <c r="BW6" s="39"/>
      <c r="BX6" s="39"/>
      <c r="BY6" s="39"/>
      <c r="CA6" s="39" t="s">
        <v>1758</v>
      </c>
      <c r="CB6" s="39"/>
      <c r="CC6" s="39"/>
      <c r="CD6" s="39"/>
      <c r="CE6" s="39"/>
      <c r="CG6" s="39" t="s">
        <v>1777</v>
      </c>
      <c r="CH6" s="39"/>
      <c r="CI6" s="39"/>
      <c r="CJ6" s="39"/>
      <c r="CK6" s="39"/>
      <c r="CM6" s="39" t="s">
        <v>1815</v>
      </c>
      <c r="CN6" s="39"/>
      <c r="CO6" s="39"/>
      <c r="CP6" s="39"/>
      <c r="CQ6" s="39"/>
      <c r="CS6" s="39" t="s">
        <v>1861</v>
      </c>
      <c r="CT6" s="39"/>
      <c r="CU6" s="39"/>
      <c r="CV6" s="39"/>
      <c r="CW6" s="39"/>
      <c r="CY6" s="39" t="s">
        <v>1876</v>
      </c>
      <c r="CZ6" s="39"/>
      <c r="DA6" s="39"/>
      <c r="DB6" s="39"/>
      <c r="DC6" s="39"/>
      <c r="DE6" s="39" t="s">
        <v>1882</v>
      </c>
      <c r="DF6" s="39"/>
      <c r="DG6" s="39"/>
      <c r="DH6" s="39"/>
      <c r="DI6" s="39"/>
      <c r="DK6" s="39" t="s">
        <v>1898</v>
      </c>
      <c r="DL6" s="39"/>
      <c r="DM6" s="39"/>
      <c r="DN6" s="39"/>
      <c r="DO6" s="39"/>
      <c r="DQ6" s="39" t="s">
        <v>1925</v>
      </c>
      <c r="DR6" s="39"/>
      <c r="DS6" s="39"/>
      <c r="DT6" s="39"/>
      <c r="DU6" s="39"/>
      <c r="DW6" s="39" t="s">
        <v>1942</v>
      </c>
      <c r="DX6" s="39"/>
      <c r="DY6" s="39"/>
      <c r="DZ6" s="39"/>
      <c r="EA6" s="39"/>
      <c r="EC6" s="39" t="s">
        <v>1963</v>
      </c>
      <c r="ED6" s="39"/>
      <c r="EE6" s="39"/>
      <c r="EF6" s="39"/>
      <c r="EG6" s="39"/>
      <c r="EI6" s="39" t="s">
        <v>1969</v>
      </c>
      <c r="EJ6" s="39"/>
      <c r="EK6" s="39"/>
      <c r="EL6" s="39"/>
      <c r="EM6" s="39"/>
      <c r="EO6" s="39" t="s">
        <v>2005</v>
      </c>
      <c r="EP6" s="39"/>
      <c r="EQ6" s="39"/>
      <c r="ER6" s="39"/>
      <c r="ES6" s="39"/>
      <c r="EU6" s="39" t="s">
        <v>2020</v>
      </c>
      <c r="EV6" s="39"/>
      <c r="EW6" s="39"/>
      <c r="EX6" s="39"/>
      <c r="EY6" s="39"/>
      <c r="FA6" s="39" t="s">
        <v>2020</v>
      </c>
      <c r="FB6" s="39"/>
      <c r="FC6" s="39"/>
      <c r="FD6" s="39"/>
      <c r="FE6" s="39"/>
    </row>
    <row r="7" spans="1:161">
      <c r="A7" s="69" t="s">
        <v>1051</v>
      </c>
      <c r="B7" s="69" t="s">
        <v>1039</v>
      </c>
      <c r="C7" s="90" t="s">
        <v>1038</v>
      </c>
      <c r="D7" s="39"/>
      <c r="E7" s="39"/>
      <c r="G7" s="39" t="s">
        <v>1296</v>
      </c>
      <c r="H7" s="39"/>
      <c r="I7" s="39"/>
      <c r="J7" s="39"/>
      <c r="K7" s="39"/>
      <c r="M7" s="39" t="s">
        <v>1575</v>
      </c>
      <c r="N7" s="39"/>
      <c r="O7" s="39"/>
      <c r="P7" s="39"/>
      <c r="Q7" s="39"/>
      <c r="S7" s="39" t="s">
        <v>1582</v>
      </c>
      <c r="T7" s="39"/>
      <c r="U7" s="39"/>
      <c r="V7" s="39"/>
      <c r="W7" s="39"/>
      <c r="Y7" s="39" t="s">
        <v>1595</v>
      </c>
      <c r="Z7" s="39"/>
      <c r="AA7" s="39"/>
      <c r="AB7" s="39"/>
      <c r="AC7" s="39"/>
      <c r="AE7" s="39" t="s">
        <v>1603</v>
      </c>
      <c r="AF7" s="39"/>
      <c r="AG7" s="39"/>
      <c r="AH7" s="39"/>
      <c r="AI7" s="39"/>
      <c r="AK7" s="39" t="s">
        <v>1609</v>
      </c>
      <c r="AL7" s="39"/>
      <c r="AM7" s="39"/>
      <c r="AN7" s="39"/>
      <c r="AO7" s="39"/>
      <c r="AQ7" s="39" t="s">
        <v>1612</v>
      </c>
      <c r="AR7" s="39"/>
      <c r="AS7" s="39"/>
      <c r="AT7" s="39"/>
      <c r="AU7" s="39"/>
      <c r="AW7" s="39" t="s">
        <v>1617</v>
      </c>
      <c r="AX7" s="39"/>
      <c r="AY7" s="39"/>
      <c r="AZ7" s="39"/>
      <c r="BA7" s="39"/>
      <c r="BC7" s="39" t="s">
        <v>1625</v>
      </c>
      <c r="BD7" s="147"/>
      <c r="BE7" s="147"/>
      <c r="BF7" s="147"/>
      <c r="BG7" s="147"/>
      <c r="BI7" s="39" t="s">
        <v>1588</v>
      </c>
      <c r="BJ7" s="39"/>
      <c r="BK7" s="39"/>
      <c r="BL7" s="39"/>
      <c r="BM7" s="39"/>
      <c r="BO7" s="39" t="s">
        <v>1671</v>
      </c>
      <c r="BP7" s="39"/>
      <c r="BQ7" s="39"/>
      <c r="BR7" s="39"/>
      <c r="BS7" s="39"/>
      <c r="BU7" s="149" t="s">
        <v>1699</v>
      </c>
      <c r="BV7" s="39"/>
      <c r="BW7" s="39"/>
      <c r="BX7" s="39"/>
      <c r="BY7" s="39"/>
      <c r="CA7" s="39" t="s">
        <v>1759</v>
      </c>
      <c r="CB7" s="39"/>
      <c r="CC7" s="39"/>
      <c r="CD7" s="39"/>
      <c r="CE7" s="39"/>
      <c r="CG7" s="39" t="s">
        <v>1778</v>
      </c>
      <c r="CH7" s="39"/>
      <c r="CI7" s="39"/>
      <c r="CJ7" s="39"/>
      <c r="CK7" s="39"/>
      <c r="CM7" s="39" t="s">
        <v>1816</v>
      </c>
      <c r="CN7" s="39"/>
      <c r="CO7" s="39"/>
      <c r="CP7" s="39"/>
      <c r="CQ7" s="39"/>
      <c r="CS7" s="39" t="s">
        <v>1862</v>
      </c>
      <c r="CT7" s="39"/>
      <c r="CU7" s="39"/>
      <c r="CV7" s="39"/>
      <c r="CW7" s="39"/>
      <c r="CY7" s="39" t="s">
        <v>1877</v>
      </c>
      <c r="CZ7" s="39"/>
      <c r="DA7" s="39"/>
      <c r="DB7" s="39"/>
      <c r="DC7" s="39"/>
      <c r="DE7" s="39" t="s">
        <v>1883</v>
      </c>
      <c r="DF7" s="39"/>
      <c r="DG7" s="39"/>
      <c r="DH7" s="39"/>
      <c r="DI7" s="39"/>
      <c r="DK7" s="39" t="s">
        <v>1899</v>
      </c>
      <c r="DL7" s="39"/>
      <c r="DM7" s="39"/>
      <c r="DN7" s="39"/>
      <c r="DO7" s="39"/>
      <c r="DQ7" s="39" t="s">
        <v>1294</v>
      </c>
      <c r="DR7" s="39"/>
      <c r="DS7" s="39"/>
      <c r="DT7" s="39"/>
      <c r="DU7" s="39"/>
      <c r="DW7" s="39" t="s">
        <v>1943</v>
      </c>
      <c r="DX7" s="39"/>
      <c r="DY7" s="39"/>
      <c r="DZ7" s="39"/>
      <c r="EA7" s="39"/>
      <c r="EC7" s="39" t="s">
        <v>1964</v>
      </c>
      <c r="ED7" s="39"/>
      <c r="EE7" s="39"/>
      <c r="EF7" s="39"/>
      <c r="EG7" s="39"/>
      <c r="EI7" s="39" t="s">
        <v>1970</v>
      </c>
      <c r="EJ7" s="39"/>
      <c r="EK7" s="39"/>
      <c r="EL7" s="39"/>
      <c r="EM7" s="39"/>
      <c r="EO7" s="39" t="s">
        <v>2006</v>
      </c>
      <c r="EP7" s="39"/>
      <c r="EQ7" s="39"/>
      <c r="ER7" s="39"/>
      <c r="ES7" s="39"/>
      <c r="EU7" s="39" t="s">
        <v>2021</v>
      </c>
      <c r="EV7" s="39"/>
      <c r="EW7" s="39"/>
      <c r="EX7" s="39"/>
      <c r="EY7" s="39"/>
      <c r="FA7" s="39" t="s">
        <v>2021</v>
      </c>
      <c r="FB7" s="39"/>
      <c r="FC7" s="39"/>
      <c r="FD7" s="39"/>
      <c r="FE7" s="39"/>
    </row>
    <row r="8" spans="1:161">
      <c r="A8" s="69" t="s">
        <v>1052</v>
      </c>
      <c r="B8" s="69" t="s">
        <v>1039</v>
      </c>
      <c r="C8" s="90" t="s">
        <v>1038</v>
      </c>
      <c r="D8" s="39"/>
      <c r="E8" s="39"/>
      <c r="G8" s="39" t="s">
        <v>1297</v>
      </c>
      <c r="H8" s="39"/>
      <c r="I8" s="39"/>
      <c r="J8" s="39"/>
      <c r="K8" s="39"/>
      <c r="M8" s="39" t="s">
        <v>1576</v>
      </c>
      <c r="N8" s="39"/>
      <c r="O8" s="39"/>
      <c r="P8" s="39"/>
      <c r="Q8" s="39"/>
      <c r="S8" s="39" t="s">
        <v>1583</v>
      </c>
      <c r="T8" s="39"/>
      <c r="U8" s="39"/>
      <c r="V8" s="39"/>
      <c r="W8" s="39"/>
      <c r="Y8" s="39" t="s">
        <v>1596</v>
      </c>
      <c r="Z8" s="39"/>
      <c r="AA8" s="39"/>
      <c r="AB8" s="39"/>
      <c r="AC8" s="39"/>
      <c r="AE8" s="39" t="s">
        <v>1604</v>
      </c>
      <c r="AF8" s="39"/>
      <c r="AG8" s="39"/>
      <c r="AH8" s="39"/>
      <c r="AI8" s="39"/>
      <c r="AQ8" s="39" t="s">
        <v>1587</v>
      </c>
      <c r="AR8" s="39"/>
      <c r="AS8" s="39"/>
      <c r="AT8" s="39"/>
      <c r="AU8" s="39"/>
      <c r="AW8" s="39" t="s">
        <v>1617</v>
      </c>
      <c r="AX8" s="39"/>
      <c r="AY8" s="39"/>
      <c r="AZ8" s="39"/>
      <c r="BA8" s="39"/>
      <c r="BC8" s="39" t="s">
        <v>1626</v>
      </c>
      <c r="BD8" s="147"/>
      <c r="BE8" s="147"/>
      <c r="BF8" s="147"/>
      <c r="BG8" s="147"/>
      <c r="BI8" s="39" t="s">
        <v>1663</v>
      </c>
      <c r="BJ8" s="39"/>
      <c r="BK8" s="39"/>
      <c r="BL8" s="39"/>
      <c r="BM8" s="39"/>
      <c r="BO8" s="39" t="s">
        <v>1672</v>
      </c>
      <c r="BP8" s="39"/>
      <c r="BQ8" s="39"/>
      <c r="BR8" s="39"/>
      <c r="BS8" s="39"/>
      <c r="BU8" s="149" t="s">
        <v>1700</v>
      </c>
      <c r="BV8" s="39"/>
      <c r="BW8" s="39"/>
      <c r="BX8" s="39"/>
      <c r="BY8" s="39"/>
      <c r="CA8" s="39" t="s">
        <v>1760</v>
      </c>
      <c r="CB8" s="39"/>
      <c r="CC8" s="39"/>
      <c r="CD8" s="39"/>
      <c r="CE8" s="39"/>
      <c r="CG8" s="39" t="s">
        <v>1779</v>
      </c>
      <c r="CH8" s="39"/>
      <c r="CI8" s="39"/>
      <c r="CJ8" s="39"/>
      <c r="CK8" s="39"/>
      <c r="CM8" s="39" t="s">
        <v>1817</v>
      </c>
      <c r="CN8" s="39"/>
      <c r="CO8" s="39"/>
      <c r="CP8" s="39"/>
      <c r="CQ8" s="39"/>
      <c r="CS8" s="39" t="s">
        <v>1863</v>
      </c>
      <c r="CT8" s="39"/>
      <c r="CU8" s="39"/>
      <c r="CV8" s="39"/>
      <c r="CW8" s="39"/>
      <c r="CY8" s="39" t="s">
        <v>1878</v>
      </c>
      <c r="CZ8" s="39"/>
      <c r="DA8" s="39"/>
      <c r="DB8" s="39"/>
      <c r="DC8" s="39"/>
      <c r="DE8" s="39" t="s">
        <v>1884</v>
      </c>
      <c r="DF8" s="39"/>
      <c r="DG8" s="39"/>
      <c r="DH8" s="39"/>
      <c r="DI8" s="39"/>
      <c r="DK8" s="39" t="s">
        <v>1900</v>
      </c>
      <c r="DL8" s="39"/>
      <c r="DM8" s="39"/>
      <c r="DN8" s="39"/>
      <c r="DO8" s="39"/>
      <c r="DQ8" s="39" t="s">
        <v>1926</v>
      </c>
      <c r="DR8" s="39"/>
      <c r="DS8" s="39"/>
      <c r="DT8" s="39"/>
      <c r="DU8" s="39"/>
      <c r="DW8" s="39" t="s">
        <v>1944</v>
      </c>
      <c r="DX8" s="39"/>
      <c r="DY8" s="39"/>
      <c r="DZ8" s="39"/>
      <c r="EA8" s="39"/>
      <c r="EC8" s="39" t="s">
        <v>1965</v>
      </c>
      <c r="ED8" s="39"/>
      <c r="EE8" s="39"/>
      <c r="EF8" s="39"/>
      <c r="EG8" s="39"/>
      <c r="EI8" s="39" t="s">
        <v>1971</v>
      </c>
      <c r="EJ8" s="39"/>
      <c r="EK8" s="39"/>
      <c r="EL8" s="39"/>
      <c r="EM8" s="39"/>
      <c r="EO8" s="39" t="s">
        <v>2007</v>
      </c>
      <c r="EP8" s="39"/>
      <c r="EQ8" s="39"/>
      <c r="ER8" s="39"/>
      <c r="ES8" s="39"/>
      <c r="EU8" s="39" t="s">
        <v>1294</v>
      </c>
      <c r="EV8" s="39"/>
      <c r="EW8" s="39"/>
      <c r="EX8" s="39"/>
      <c r="EY8" s="39"/>
      <c r="FA8" s="39" t="s">
        <v>1294</v>
      </c>
      <c r="FB8" s="39"/>
      <c r="FC8" s="39"/>
      <c r="FD8" s="39"/>
      <c r="FE8" s="39"/>
    </row>
    <row r="9" spans="1:161">
      <c r="A9" s="69" t="s">
        <v>1053</v>
      </c>
      <c r="B9" s="69" t="s">
        <v>1037</v>
      </c>
      <c r="C9" s="90" t="s">
        <v>1038</v>
      </c>
      <c r="D9" s="39"/>
      <c r="E9" s="39"/>
      <c r="G9" s="39" t="s">
        <v>1298</v>
      </c>
      <c r="H9" s="39"/>
      <c r="I9" s="39"/>
      <c r="J9" s="39"/>
      <c r="K9" s="39"/>
      <c r="M9" s="39" t="s">
        <v>1577</v>
      </c>
      <c r="N9" s="39"/>
      <c r="O9" s="39"/>
      <c r="P9" s="39"/>
      <c r="Q9" s="39"/>
      <c r="S9" s="39" t="s">
        <v>1584</v>
      </c>
      <c r="T9" s="39"/>
      <c r="U9" s="39"/>
      <c r="V9" s="39"/>
      <c r="W9" s="39"/>
      <c r="Y9" s="39" t="s">
        <v>1597</v>
      </c>
      <c r="Z9" s="39"/>
      <c r="AA9" s="39"/>
      <c r="AB9" s="39"/>
      <c r="AC9" s="39"/>
      <c r="AE9" s="39" t="s">
        <v>1605</v>
      </c>
      <c r="AF9" s="39"/>
      <c r="AG9" s="39"/>
      <c r="AH9" s="39"/>
      <c r="AI9" s="39"/>
      <c r="AQ9" s="39" t="s">
        <v>1613</v>
      </c>
      <c r="AR9" s="39"/>
      <c r="AS9" s="39"/>
      <c r="AT9" s="39"/>
      <c r="AU9" s="39"/>
      <c r="AW9" s="39" t="s">
        <v>1618</v>
      </c>
      <c r="AX9" s="39"/>
      <c r="AY9" s="39"/>
      <c r="AZ9" s="39"/>
      <c r="BA9" s="39"/>
      <c r="BC9" s="39" t="s">
        <v>1627</v>
      </c>
      <c r="BD9" s="147"/>
      <c r="BE9" s="147"/>
      <c r="BF9" s="147"/>
      <c r="BG9" s="147"/>
      <c r="BI9" s="39" t="s">
        <v>1664</v>
      </c>
      <c r="BJ9" s="39"/>
      <c r="BK9" s="39"/>
      <c r="BL9" s="39"/>
      <c r="BM9" s="39"/>
      <c r="BO9" s="39" t="s">
        <v>1673</v>
      </c>
      <c r="BP9" s="39"/>
      <c r="BQ9" s="39"/>
      <c r="BR9" s="39"/>
      <c r="BS9" s="39"/>
      <c r="BU9" s="149" t="s">
        <v>1701</v>
      </c>
      <c r="BV9" s="39"/>
      <c r="BW9" s="39"/>
      <c r="BX9" s="39"/>
      <c r="BY9" s="39"/>
      <c r="CA9" s="39" t="s">
        <v>1761</v>
      </c>
      <c r="CB9" s="39"/>
      <c r="CC9" s="39"/>
      <c r="CD9" s="39"/>
      <c r="CE9" s="39"/>
      <c r="CG9" s="39" t="s">
        <v>1780</v>
      </c>
      <c r="CH9" s="39"/>
      <c r="CI9" s="39"/>
      <c r="CJ9" s="39"/>
      <c r="CK9" s="39"/>
      <c r="CM9" s="39" t="s">
        <v>1818</v>
      </c>
      <c r="CN9" s="39"/>
      <c r="CO9" s="39"/>
      <c r="CP9" s="39"/>
      <c r="CQ9" s="39"/>
      <c r="CS9" s="39" t="s">
        <v>1864</v>
      </c>
      <c r="CT9" s="39"/>
      <c r="CU9" s="39"/>
      <c r="CV9" s="39"/>
      <c r="CW9" s="39"/>
      <c r="CY9" s="39" t="s">
        <v>1879</v>
      </c>
      <c r="CZ9" s="39"/>
      <c r="DA9" s="39"/>
      <c r="DB9" s="39"/>
      <c r="DC9" s="39"/>
      <c r="DE9" s="39" t="s">
        <v>1885</v>
      </c>
      <c r="DF9" s="39"/>
      <c r="DG9" s="39"/>
      <c r="DH9" s="39"/>
      <c r="DI9" s="39"/>
      <c r="DK9" s="39" t="s">
        <v>1901</v>
      </c>
      <c r="DL9" s="39"/>
      <c r="DM9" s="39"/>
      <c r="DN9" s="39"/>
      <c r="DO9" s="39"/>
      <c r="DQ9" s="39" t="s">
        <v>1927</v>
      </c>
      <c r="DR9" s="39"/>
      <c r="DS9" s="39"/>
      <c r="DT9" s="39"/>
      <c r="DU9" s="39"/>
      <c r="DW9" s="39" t="s">
        <v>1945</v>
      </c>
      <c r="DX9" s="39"/>
      <c r="DY9" s="39"/>
      <c r="DZ9" s="39"/>
      <c r="EA9" s="39"/>
      <c r="EC9" s="39" t="s">
        <v>1966</v>
      </c>
      <c r="ED9" s="39"/>
      <c r="EE9" s="39"/>
      <c r="EF9" s="39"/>
      <c r="EG9" s="39"/>
      <c r="EI9" s="39" t="s">
        <v>1972</v>
      </c>
      <c r="EJ9" s="39"/>
      <c r="EK9" s="39"/>
      <c r="EL9" s="39"/>
      <c r="EM9" s="39"/>
      <c r="EO9" s="39" t="s">
        <v>2008</v>
      </c>
      <c r="EP9" s="39"/>
      <c r="EQ9" s="39"/>
      <c r="ER9" s="39"/>
      <c r="ES9" s="39"/>
      <c r="EU9" s="39" t="s">
        <v>2022</v>
      </c>
      <c r="EV9" s="39"/>
      <c r="EW9" s="39"/>
      <c r="EX9" s="39"/>
      <c r="EY9" s="39"/>
      <c r="FA9" s="39" t="s">
        <v>2022</v>
      </c>
      <c r="FB9" s="39"/>
      <c r="FC9" s="39"/>
      <c r="FD9" s="39"/>
      <c r="FE9" s="39"/>
    </row>
    <row r="10" spans="1:161">
      <c r="A10" s="69" t="s">
        <v>1054</v>
      </c>
      <c r="B10" s="69" t="s">
        <v>1037</v>
      </c>
      <c r="C10" s="90" t="s">
        <v>1038</v>
      </c>
      <c r="D10" s="39"/>
      <c r="E10" s="39"/>
      <c r="G10" s="39" t="s">
        <v>1299</v>
      </c>
      <c r="H10" s="39"/>
      <c r="I10" s="39"/>
      <c r="J10" s="39"/>
      <c r="K10" s="39"/>
      <c r="M10" s="39" t="s">
        <v>1578</v>
      </c>
      <c r="N10" s="39"/>
      <c r="O10" s="39"/>
      <c r="P10" s="39"/>
      <c r="Q10" s="39"/>
      <c r="S10" s="39" t="s">
        <v>1585</v>
      </c>
      <c r="T10" s="39"/>
      <c r="U10" s="39"/>
      <c r="V10" s="39"/>
      <c r="W10" s="39"/>
      <c r="Y10" s="39" t="s">
        <v>1598</v>
      </c>
      <c r="Z10" s="39"/>
      <c r="AA10" s="39"/>
      <c r="AB10" s="39"/>
      <c r="AC10" s="39"/>
      <c r="AW10" s="39" t="s">
        <v>1619</v>
      </c>
      <c r="AX10" s="39"/>
      <c r="AY10" s="39"/>
      <c r="AZ10" s="39"/>
      <c r="BA10" s="39"/>
      <c r="BC10" s="39" t="s">
        <v>1628</v>
      </c>
      <c r="BD10" s="147"/>
      <c r="BE10" s="147"/>
      <c r="BF10" s="147"/>
      <c r="BG10" s="147"/>
      <c r="BI10" s="39" t="s">
        <v>1665</v>
      </c>
      <c r="BJ10" s="39"/>
      <c r="BK10" s="39"/>
      <c r="BL10" s="39"/>
      <c r="BM10" s="39"/>
      <c r="BO10" s="39" t="s">
        <v>1674</v>
      </c>
      <c r="BP10" s="39"/>
      <c r="BQ10" s="39"/>
      <c r="BR10" s="39"/>
      <c r="BS10" s="39"/>
      <c r="BU10" s="149" t="s">
        <v>1702</v>
      </c>
      <c r="BV10" s="39"/>
      <c r="BW10" s="39"/>
      <c r="BX10" s="39"/>
      <c r="BY10" s="39"/>
      <c r="CA10" s="39" t="s">
        <v>1762</v>
      </c>
      <c r="CB10" s="39"/>
      <c r="CC10" s="39"/>
      <c r="CD10" s="39"/>
      <c r="CE10" s="39"/>
      <c r="CG10" s="39" t="s">
        <v>1781</v>
      </c>
      <c r="CH10" s="39"/>
      <c r="CI10" s="39"/>
      <c r="CJ10" s="39"/>
      <c r="CK10" s="39"/>
      <c r="CM10" s="39" t="s">
        <v>1819</v>
      </c>
      <c r="CN10" s="39"/>
      <c r="CO10" s="39"/>
      <c r="CP10" s="39"/>
      <c r="CQ10" s="39"/>
      <c r="CS10" s="39" t="s">
        <v>1865</v>
      </c>
      <c r="CT10" s="39"/>
      <c r="CU10" s="39"/>
      <c r="CV10" s="39"/>
      <c r="CW10" s="39"/>
      <c r="DE10" s="39" t="s">
        <v>1886</v>
      </c>
      <c r="DF10" s="39"/>
      <c r="DG10" s="39"/>
      <c r="DH10" s="39"/>
      <c r="DI10" s="39"/>
      <c r="DK10" s="39" t="s">
        <v>1902</v>
      </c>
      <c r="DL10" s="39"/>
      <c r="DM10" s="39"/>
      <c r="DN10" s="39"/>
      <c r="DO10" s="39"/>
      <c r="DQ10" s="39" t="s">
        <v>1296</v>
      </c>
      <c r="DR10" s="39"/>
      <c r="DS10" s="39"/>
      <c r="DT10" s="39"/>
      <c r="DU10" s="39"/>
      <c r="DW10" s="39" t="s">
        <v>1946</v>
      </c>
      <c r="DX10" s="39"/>
      <c r="DY10" s="39"/>
      <c r="DZ10" s="39"/>
      <c r="EA10" s="39"/>
      <c r="EI10" s="39" t="s">
        <v>1973</v>
      </c>
      <c r="EJ10" s="39"/>
      <c r="EK10" s="39"/>
      <c r="EL10" s="39"/>
      <c r="EM10" s="39"/>
      <c r="EO10" s="39" t="s">
        <v>2009</v>
      </c>
      <c r="EP10" s="39"/>
      <c r="EQ10" s="39"/>
      <c r="ER10" s="39"/>
      <c r="ES10" s="39"/>
      <c r="EU10" s="39" t="s">
        <v>2023</v>
      </c>
      <c r="EV10" s="39"/>
      <c r="EW10" s="39"/>
      <c r="EX10" s="39"/>
      <c r="EY10" s="39"/>
      <c r="FA10" s="39" t="s">
        <v>2023</v>
      </c>
      <c r="FB10" s="39"/>
      <c r="FC10" s="39"/>
      <c r="FD10" s="39"/>
      <c r="FE10" s="39"/>
    </row>
    <row r="11" spans="1:161">
      <c r="A11" s="69" t="s">
        <v>1055</v>
      </c>
      <c r="B11" s="69" t="s">
        <v>1037</v>
      </c>
      <c r="C11" s="90" t="s">
        <v>1038</v>
      </c>
      <c r="D11" s="39"/>
      <c r="E11" s="39"/>
      <c r="G11" s="39" t="s">
        <v>1300</v>
      </c>
      <c r="H11" s="39"/>
      <c r="I11" s="39"/>
      <c r="J11" s="39"/>
      <c r="K11" s="39"/>
      <c r="S11" s="39" t="s">
        <v>1586</v>
      </c>
      <c r="T11" s="39"/>
      <c r="U11" s="39"/>
      <c r="V11" s="39"/>
      <c r="W11" s="39"/>
      <c r="Y11" s="39" t="s">
        <v>1599</v>
      </c>
      <c r="Z11" s="39"/>
      <c r="AA11" s="39"/>
      <c r="AB11" s="39"/>
      <c r="AC11" s="39"/>
      <c r="AW11" s="39" t="s">
        <v>1620</v>
      </c>
      <c r="AX11" s="39"/>
      <c r="AY11" s="39"/>
      <c r="AZ11" s="39"/>
      <c r="BA11" s="39"/>
      <c r="BC11" s="39" t="s">
        <v>1629</v>
      </c>
      <c r="BD11" s="147"/>
      <c r="BE11" s="147"/>
      <c r="BF11" s="147"/>
      <c r="BG11" s="147"/>
      <c r="BI11" s="39" t="s">
        <v>1666</v>
      </c>
      <c r="BJ11" s="39"/>
      <c r="BK11" s="39"/>
      <c r="BL11" s="39"/>
      <c r="BM11" s="39"/>
      <c r="BO11" s="39" t="s">
        <v>1675</v>
      </c>
      <c r="BP11" s="39"/>
      <c r="BQ11" s="39"/>
      <c r="BR11" s="39"/>
      <c r="BS11" s="39"/>
      <c r="BU11" s="149" t="s">
        <v>1703</v>
      </c>
      <c r="BV11" s="39"/>
      <c r="BW11" s="39"/>
      <c r="BX11" s="39"/>
      <c r="BY11" s="39"/>
      <c r="CA11" s="39" t="s">
        <v>1763</v>
      </c>
      <c r="CB11" s="39"/>
      <c r="CC11" s="39"/>
      <c r="CD11" s="39"/>
      <c r="CE11" s="39"/>
      <c r="CG11" s="39" t="s">
        <v>1782</v>
      </c>
      <c r="CH11" s="39"/>
      <c r="CI11" s="39"/>
      <c r="CJ11" s="39"/>
      <c r="CK11" s="39"/>
      <c r="CM11" s="39" t="s">
        <v>1820</v>
      </c>
      <c r="CN11" s="39"/>
      <c r="CO11" s="39"/>
      <c r="CP11" s="39"/>
      <c r="CQ11" s="39"/>
      <c r="CS11" s="39" t="s">
        <v>1866</v>
      </c>
      <c r="CT11" s="39"/>
      <c r="CU11" s="39"/>
      <c r="CV11" s="39"/>
      <c r="CW11" s="39"/>
      <c r="DE11" s="39" t="s">
        <v>1887</v>
      </c>
      <c r="DF11" s="39"/>
      <c r="DG11" s="39"/>
      <c r="DH11" s="39"/>
      <c r="DI11" s="39"/>
      <c r="DK11" s="39" t="s">
        <v>1903</v>
      </c>
      <c r="DL11" s="39"/>
      <c r="DM11" s="39"/>
      <c r="DN11" s="39"/>
      <c r="DO11" s="39"/>
      <c r="DQ11" s="39" t="s">
        <v>1928</v>
      </c>
      <c r="DR11" s="39"/>
      <c r="DS11" s="39"/>
      <c r="DT11" s="39"/>
      <c r="DU11" s="39"/>
      <c r="DW11" s="39" t="s">
        <v>1947</v>
      </c>
      <c r="DX11" s="39"/>
      <c r="DY11" s="39"/>
      <c r="DZ11" s="39"/>
      <c r="EA11" s="39"/>
      <c r="EI11" s="39" t="s">
        <v>1974</v>
      </c>
      <c r="EJ11" s="39"/>
      <c r="EK11" s="39"/>
      <c r="EL11" s="39"/>
      <c r="EM11" s="39"/>
      <c r="EO11" s="39" t="s">
        <v>1585</v>
      </c>
      <c r="EP11" s="39"/>
      <c r="EQ11" s="39"/>
      <c r="ER11" s="39"/>
      <c r="ES11" s="39"/>
      <c r="EU11" s="39" t="s">
        <v>2024</v>
      </c>
      <c r="EV11" s="39"/>
      <c r="EW11" s="39"/>
      <c r="EX11" s="39"/>
      <c r="EY11" s="39"/>
      <c r="FA11" s="39" t="s">
        <v>2024</v>
      </c>
      <c r="FB11" s="39"/>
      <c r="FC11" s="39"/>
      <c r="FD11" s="39"/>
      <c r="FE11" s="39"/>
    </row>
    <row r="12" spans="1:161">
      <c r="A12" s="69" t="s">
        <v>1056</v>
      </c>
      <c r="B12" s="69" t="s">
        <v>1039</v>
      </c>
      <c r="C12" s="90" t="s">
        <v>1038</v>
      </c>
      <c r="D12" s="39"/>
      <c r="E12" s="39"/>
      <c r="G12" s="39" t="s">
        <v>1301</v>
      </c>
      <c r="H12" s="39"/>
      <c r="I12" s="39"/>
      <c r="J12" s="39"/>
      <c r="K12" s="39"/>
      <c r="S12" s="39" t="s">
        <v>1587</v>
      </c>
      <c r="T12" s="39"/>
      <c r="U12" s="39"/>
      <c r="V12" s="39"/>
      <c r="W12" s="39"/>
      <c r="AW12" s="39" t="s">
        <v>1621</v>
      </c>
      <c r="AX12" s="39"/>
      <c r="AY12" s="39"/>
      <c r="AZ12" s="39"/>
      <c r="BA12" s="39"/>
      <c r="BC12" s="39" t="s">
        <v>1630</v>
      </c>
      <c r="BD12" s="147"/>
      <c r="BE12" s="147"/>
      <c r="BF12" s="147"/>
      <c r="BG12" s="147"/>
      <c r="BI12" s="39" t="s">
        <v>1667</v>
      </c>
      <c r="BJ12" s="39"/>
      <c r="BK12" s="39"/>
      <c r="BL12" s="39"/>
      <c r="BM12" s="39"/>
      <c r="BO12" s="39" t="s">
        <v>1676</v>
      </c>
      <c r="BP12" s="39"/>
      <c r="BQ12" s="39"/>
      <c r="BR12" s="39"/>
      <c r="BS12" s="39"/>
      <c r="BU12" s="149" t="s">
        <v>1704</v>
      </c>
      <c r="BV12" s="39"/>
      <c r="BW12" s="39"/>
      <c r="BX12" s="39"/>
      <c r="BY12" s="39"/>
      <c r="CA12" s="39" t="s">
        <v>1764</v>
      </c>
      <c r="CB12" s="39"/>
      <c r="CC12" s="39"/>
      <c r="CD12" s="39"/>
      <c r="CE12" s="39"/>
      <c r="CG12" s="39" t="s">
        <v>1296</v>
      </c>
      <c r="CH12" s="39"/>
      <c r="CI12" s="39"/>
      <c r="CJ12" s="39"/>
      <c r="CK12" s="39"/>
      <c r="CM12" s="39" t="s">
        <v>1821</v>
      </c>
      <c r="CN12" s="39"/>
      <c r="CO12" s="39"/>
      <c r="CP12" s="39"/>
      <c r="CQ12" s="39"/>
      <c r="CS12" s="39" t="s">
        <v>1867</v>
      </c>
      <c r="CT12" s="39"/>
      <c r="CU12" s="39"/>
      <c r="CV12" s="39"/>
      <c r="CW12" s="39"/>
      <c r="DE12" s="39" t="s">
        <v>1888</v>
      </c>
      <c r="DF12" s="39"/>
      <c r="DG12" s="39"/>
      <c r="DH12" s="39"/>
      <c r="DI12" s="39"/>
      <c r="DK12" s="39" t="s">
        <v>1904</v>
      </c>
      <c r="DL12" s="39"/>
      <c r="DM12" s="39"/>
      <c r="DN12" s="39"/>
      <c r="DO12" s="39"/>
      <c r="DQ12" s="39" t="s">
        <v>1929</v>
      </c>
      <c r="DR12" s="39"/>
      <c r="DS12" s="39"/>
      <c r="DT12" s="39"/>
      <c r="DU12" s="39"/>
      <c r="DW12" s="39" t="s">
        <v>1948</v>
      </c>
      <c r="DX12" s="39"/>
      <c r="DY12" s="39"/>
      <c r="DZ12" s="39"/>
      <c r="EA12" s="39"/>
      <c r="EI12" s="39" t="s">
        <v>1975</v>
      </c>
      <c r="EJ12" s="39"/>
      <c r="EK12" s="39"/>
      <c r="EL12" s="39"/>
      <c r="EM12" s="39"/>
      <c r="EO12" s="39" t="s">
        <v>2010</v>
      </c>
      <c r="EP12" s="39"/>
      <c r="EQ12" s="39"/>
      <c r="ER12" s="39"/>
      <c r="ES12" s="39"/>
      <c r="EU12" s="39" t="s">
        <v>2025</v>
      </c>
      <c r="EV12" s="39"/>
      <c r="EW12" s="39"/>
      <c r="EX12" s="39"/>
      <c r="EY12" s="39"/>
      <c r="FA12" s="39" t="s">
        <v>2025</v>
      </c>
      <c r="FB12" s="39"/>
      <c r="FC12" s="39"/>
      <c r="FD12" s="39"/>
      <c r="FE12" s="39"/>
    </row>
    <row r="13" spans="1:161">
      <c r="A13" s="69" t="s">
        <v>1057</v>
      </c>
      <c r="B13" s="69" t="s">
        <v>1037</v>
      </c>
      <c r="C13" s="90" t="s">
        <v>1038</v>
      </c>
      <c r="D13" s="39"/>
      <c r="E13" s="39"/>
      <c r="G13" s="104" t="s">
        <v>1302</v>
      </c>
      <c r="H13" s="104"/>
      <c r="I13" s="104"/>
      <c r="J13" s="104"/>
      <c r="K13" s="104"/>
      <c r="S13" s="39" t="s">
        <v>1588</v>
      </c>
      <c r="T13" s="39"/>
      <c r="U13" s="39"/>
      <c r="V13" s="39"/>
      <c r="W13" s="39"/>
      <c r="BC13" s="39" t="s">
        <v>1631</v>
      </c>
      <c r="BD13" s="147"/>
      <c r="BE13" s="147"/>
      <c r="BF13" s="147"/>
      <c r="BG13" s="147"/>
      <c r="BI13" s="39" t="s">
        <v>1585</v>
      </c>
      <c r="BJ13" s="39"/>
      <c r="BK13" s="39"/>
      <c r="BL13" s="39"/>
      <c r="BM13" s="39"/>
      <c r="BO13" s="39" t="s">
        <v>1677</v>
      </c>
      <c r="BP13" s="39"/>
      <c r="BQ13" s="39"/>
      <c r="BR13" s="39"/>
      <c r="BS13" s="39"/>
      <c r="BU13" s="149" t="s">
        <v>1705</v>
      </c>
      <c r="BV13" s="39"/>
      <c r="BW13" s="39"/>
      <c r="BX13" s="39"/>
      <c r="BY13" s="39"/>
      <c r="CA13" s="39" t="s">
        <v>1765</v>
      </c>
      <c r="CB13" s="39"/>
      <c r="CC13" s="39"/>
      <c r="CD13" s="39"/>
      <c r="CE13" s="39"/>
      <c r="CG13" s="39" t="s">
        <v>1783</v>
      </c>
      <c r="CH13" s="39"/>
      <c r="CI13" s="39"/>
      <c r="CJ13" s="39"/>
      <c r="CK13" s="39"/>
      <c r="CM13" s="39" t="s">
        <v>1822</v>
      </c>
      <c r="CN13" s="39"/>
      <c r="CO13" s="39"/>
      <c r="CP13" s="39"/>
      <c r="CQ13" s="39"/>
      <c r="CS13" s="39" t="s">
        <v>1868</v>
      </c>
      <c r="CT13" s="39"/>
      <c r="CU13" s="39"/>
      <c r="CV13" s="39"/>
      <c r="CW13" s="39"/>
      <c r="DE13" s="39" t="s">
        <v>1889</v>
      </c>
      <c r="DF13" s="39"/>
      <c r="DG13" s="39"/>
      <c r="DH13" s="39"/>
      <c r="DI13" s="39"/>
      <c r="DK13" s="39" t="s">
        <v>1905</v>
      </c>
      <c r="DL13" s="39"/>
      <c r="DM13" s="39"/>
      <c r="DN13" s="39"/>
      <c r="DO13" s="39"/>
      <c r="DQ13" s="39" t="s">
        <v>1930</v>
      </c>
      <c r="DR13" s="39"/>
      <c r="DS13" s="39"/>
      <c r="DT13" s="39"/>
      <c r="DU13" s="39"/>
      <c r="DW13" s="39" t="s">
        <v>1949</v>
      </c>
      <c r="DX13" s="39"/>
      <c r="DY13" s="39"/>
      <c r="DZ13" s="39"/>
      <c r="EA13" s="39"/>
      <c r="EI13" s="39" t="s">
        <v>1976</v>
      </c>
      <c r="EJ13" s="39"/>
      <c r="EK13" s="39"/>
      <c r="EL13" s="39"/>
      <c r="EM13" s="39"/>
      <c r="EO13" s="39" t="s">
        <v>2011</v>
      </c>
      <c r="EP13" s="39"/>
      <c r="EQ13" s="39"/>
      <c r="ER13" s="39"/>
      <c r="ES13" s="39"/>
      <c r="EU13" s="39" t="s">
        <v>2026</v>
      </c>
      <c r="EV13" s="39"/>
      <c r="EW13" s="39"/>
      <c r="EX13" s="39"/>
      <c r="EY13" s="39"/>
      <c r="FA13" s="39" t="s">
        <v>2026</v>
      </c>
      <c r="FB13" s="39"/>
      <c r="FC13" s="39"/>
      <c r="FD13" s="39"/>
      <c r="FE13" s="39"/>
    </row>
    <row r="14" spans="1:161">
      <c r="A14" s="69" t="s">
        <v>1058</v>
      </c>
      <c r="B14" s="69" t="s">
        <v>1039</v>
      </c>
      <c r="C14" s="90" t="s">
        <v>1038</v>
      </c>
      <c r="D14" s="39"/>
      <c r="E14" s="39"/>
      <c r="G14" s="106"/>
      <c r="H14" s="106"/>
      <c r="I14" s="106"/>
      <c r="J14" s="106"/>
      <c r="K14" s="106"/>
      <c r="S14" s="39" t="s">
        <v>1589</v>
      </c>
      <c r="T14" s="39"/>
      <c r="U14" s="39"/>
      <c r="V14" s="39"/>
      <c r="W14" s="39"/>
      <c r="BC14" s="39" t="s">
        <v>1632</v>
      </c>
      <c r="BD14" s="147"/>
      <c r="BE14" s="147"/>
      <c r="BF14" s="147"/>
      <c r="BG14" s="147"/>
      <c r="BO14" s="39" t="s">
        <v>1678</v>
      </c>
      <c r="BP14" s="39"/>
      <c r="BQ14" s="39"/>
      <c r="BR14" s="39"/>
      <c r="BS14" s="39"/>
      <c r="BU14" s="149" t="s">
        <v>1706</v>
      </c>
      <c r="BV14" s="39"/>
      <c r="BW14" s="39"/>
      <c r="BX14" s="39"/>
      <c r="BY14" s="39"/>
      <c r="CA14" s="39" t="s">
        <v>1766</v>
      </c>
      <c r="CB14" s="39"/>
      <c r="CC14" s="39"/>
      <c r="CD14" s="39"/>
      <c r="CE14" s="39"/>
      <c r="CG14" s="39" t="s">
        <v>1784</v>
      </c>
      <c r="CH14" s="39"/>
      <c r="CI14" s="39"/>
      <c r="CJ14" s="39"/>
      <c r="CK14" s="39"/>
      <c r="CM14" s="39" t="s">
        <v>1823</v>
      </c>
      <c r="CN14" s="39"/>
      <c r="CO14" s="39"/>
      <c r="CP14" s="39"/>
      <c r="CQ14" s="39"/>
      <c r="CS14" s="39" t="s">
        <v>1869</v>
      </c>
      <c r="CT14" s="39"/>
      <c r="CU14" s="39"/>
      <c r="CV14" s="39"/>
      <c r="CW14" s="39"/>
      <c r="DE14" s="39" t="s">
        <v>1890</v>
      </c>
      <c r="DF14" s="39"/>
      <c r="DG14" s="39"/>
      <c r="DH14" s="39"/>
      <c r="DI14" s="39"/>
      <c r="DK14" s="39" t="s">
        <v>1906</v>
      </c>
      <c r="DL14" s="39"/>
      <c r="DM14" s="39"/>
      <c r="DN14" s="39"/>
      <c r="DO14" s="39"/>
      <c r="DQ14" s="39" t="s">
        <v>1931</v>
      </c>
      <c r="DR14" s="39"/>
      <c r="DS14" s="39"/>
      <c r="DT14" s="39"/>
      <c r="DU14" s="39"/>
      <c r="DW14" s="39" t="s">
        <v>1950</v>
      </c>
      <c r="DX14" s="39"/>
      <c r="DY14" s="39"/>
      <c r="DZ14" s="39"/>
      <c r="EA14" s="39"/>
      <c r="EI14" s="39" t="s">
        <v>1977</v>
      </c>
      <c r="EJ14" s="39"/>
      <c r="EK14" s="39"/>
      <c r="EL14" s="39"/>
      <c r="EM14" s="39"/>
      <c r="EO14" s="39" t="s">
        <v>2012</v>
      </c>
      <c r="EP14" s="39"/>
      <c r="EQ14" s="39"/>
      <c r="ER14" s="39"/>
      <c r="ES14" s="39"/>
      <c r="EU14" s="39" t="s">
        <v>2027</v>
      </c>
      <c r="EV14" s="39"/>
      <c r="EW14" s="39"/>
      <c r="EX14" s="39"/>
      <c r="EY14" s="39"/>
      <c r="FA14" s="39" t="s">
        <v>2027</v>
      </c>
      <c r="FB14" s="39"/>
      <c r="FC14" s="39"/>
      <c r="FD14" s="39"/>
      <c r="FE14" s="39"/>
    </row>
    <row r="15" spans="1:161">
      <c r="A15" s="69" t="s">
        <v>1059</v>
      </c>
      <c r="B15" s="69" t="s">
        <v>1037</v>
      </c>
      <c r="C15" s="90" t="s">
        <v>1038</v>
      </c>
      <c r="D15" s="39"/>
      <c r="E15" s="39"/>
      <c r="G15" s="105"/>
      <c r="H15" s="105"/>
      <c r="I15" s="105"/>
      <c r="J15" s="105"/>
      <c r="K15" s="105"/>
      <c r="S15" s="94" t="s">
        <v>1590</v>
      </c>
      <c r="T15" s="39"/>
      <c r="U15" s="39"/>
      <c r="V15" s="39"/>
      <c r="W15" s="39"/>
      <c r="BC15" s="39" t="s">
        <v>1633</v>
      </c>
      <c r="BD15" s="147"/>
      <c r="BE15" s="147"/>
      <c r="BF15" s="147"/>
      <c r="BG15" s="147"/>
      <c r="BO15" s="39" t="s">
        <v>1679</v>
      </c>
      <c r="BP15" s="39"/>
      <c r="BQ15" s="39"/>
      <c r="BR15" s="39"/>
      <c r="BS15" s="39"/>
      <c r="BU15" s="149" t="s">
        <v>1707</v>
      </c>
      <c r="BV15" s="39"/>
      <c r="BW15" s="39"/>
      <c r="BX15" s="39"/>
      <c r="BY15" s="39"/>
      <c r="CA15" s="39" t="s">
        <v>1767</v>
      </c>
      <c r="CB15" s="39"/>
      <c r="CC15" s="39"/>
      <c r="CD15" s="39"/>
      <c r="CE15" s="39"/>
      <c r="CG15" s="39" t="s">
        <v>1785</v>
      </c>
      <c r="CH15" s="39"/>
      <c r="CI15" s="39"/>
      <c r="CJ15" s="39"/>
      <c r="CK15" s="39"/>
      <c r="CM15" s="39" t="s">
        <v>1824</v>
      </c>
      <c r="CN15" s="39"/>
      <c r="CO15" s="39"/>
      <c r="CP15" s="39"/>
      <c r="CQ15" s="39"/>
      <c r="CS15" s="39" t="s">
        <v>1870</v>
      </c>
      <c r="CT15" s="39"/>
      <c r="CU15" s="39"/>
      <c r="CV15" s="39"/>
      <c r="CW15" s="39"/>
      <c r="DE15" s="39" t="s">
        <v>1891</v>
      </c>
      <c r="DF15" s="39"/>
      <c r="DG15" s="39"/>
      <c r="DH15" s="39"/>
      <c r="DI15" s="39"/>
      <c r="DK15" s="39" t="s">
        <v>1907</v>
      </c>
      <c r="DL15" s="39"/>
      <c r="DM15" s="39"/>
      <c r="DN15" s="39"/>
      <c r="DO15" s="39"/>
      <c r="DQ15" s="39" t="s">
        <v>1932</v>
      </c>
      <c r="DR15" s="39"/>
      <c r="DS15" s="39"/>
      <c r="DT15" s="39"/>
      <c r="DU15" s="39"/>
      <c r="DW15" s="39" t="s">
        <v>1951</v>
      </c>
      <c r="DX15" s="39"/>
      <c r="DY15" s="39"/>
      <c r="DZ15" s="39"/>
      <c r="EA15" s="39"/>
      <c r="EI15" s="39" t="s">
        <v>1978</v>
      </c>
      <c r="EJ15" s="39"/>
      <c r="EK15" s="39"/>
      <c r="EL15" s="39"/>
      <c r="EM15" s="39"/>
      <c r="EO15" s="39" t="s">
        <v>2013</v>
      </c>
      <c r="EP15" s="39"/>
      <c r="EQ15" s="39"/>
      <c r="ER15" s="39"/>
      <c r="ES15" s="39"/>
      <c r="EU15" s="39" t="s">
        <v>2028</v>
      </c>
      <c r="EV15" s="39"/>
      <c r="EW15" s="39"/>
      <c r="EX15" s="39"/>
      <c r="EY15" s="39"/>
      <c r="FA15" s="39" t="s">
        <v>2028</v>
      </c>
      <c r="FB15" s="39"/>
      <c r="FC15" s="39"/>
      <c r="FD15" s="39"/>
      <c r="FE15" s="39"/>
    </row>
    <row r="16" spans="1:161">
      <c r="A16" s="69" t="s">
        <v>1060</v>
      </c>
      <c r="B16" s="69" t="s">
        <v>1037</v>
      </c>
      <c r="C16" s="90" t="s">
        <v>1038</v>
      </c>
      <c r="D16" s="39"/>
      <c r="E16" s="39"/>
      <c r="S16" s="39" t="s">
        <v>1591</v>
      </c>
      <c r="T16" s="39"/>
      <c r="U16" s="39"/>
      <c r="V16" s="39"/>
      <c r="W16" s="39"/>
      <c r="BC16" s="39" t="s">
        <v>1634</v>
      </c>
      <c r="BD16" s="147"/>
      <c r="BE16" s="147"/>
      <c r="BF16" s="147"/>
      <c r="BG16" s="147"/>
      <c r="BO16" s="39" t="s">
        <v>1680</v>
      </c>
      <c r="BP16" s="39"/>
      <c r="BQ16" s="39"/>
      <c r="BR16" s="39"/>
      <c r="BS16" s="39"/>
      <c r="BU16" s="149" t="s">
        <v>1708</v>
      </c>
      <c r="BV16" s="39"/>
      <c r="BW16" s="39"/>
      <c r="BX16" s="39"/>
      <c r="BY16" s="39"/>
      <c r="CA16" s="39" t="s">
        <v>1768</v>
      </c>
      <c r="CB16" s="39"/>
      <c r="CC16" s="39"/>
      <c r="CD16" s="39"/>
      <c r="CE16" s="39"/>
      <c r="CG16" s="39" t="s">
        <v>1786</v>
      </c>
      <c r="CH16" s="39"/>
      <c r="CI16" s="39"/>
      <c r="CJ16" s="39"/>
      <c r="CK16" s="39"/>
      <c r="CM16" s="39" t="s">
        <v>1825</v>
      </c>
      <c r="CN16" s="39"/>
      <c r="CO16" s="39"/>
      <c r="CP16" s="39"/>
      <c r="CQ16" s="39"/>
      <c r="CS16" s="39" t="s">
        <v>1871</v>
      </c>
      <c r="CT16" s="39"/>
      <c r="CU16" s="39"/>
      <c r="CV16" s="39"/>
      <c r="CW16" s="39"/>
      <c r="DE16" s="39" t="s">
        <v>1892</v>
      </c>
      <c r="DF16" s="39"/>
      <c r="DG16" s="39"/>
      <c r="DH16" s="39"/>
      <c r="DI16" s="39"/>
      <c r="DK16" s="39" t="s">
        <v>1908</v>
      </c>
      <c r="DL16" s="39"/>
      <c r="DM16" s="39"/>
      <c r="DN16" s="39"/>
      <c r="DO16" s="39"/>
      <c r="DQ16" s="39" t="s">
        <v>1933</v>
      </c>
      <c r="DR16" s="39"/>
      <c r="DS16" s="39"/>
      <c r="DT16" s="39"/>
      <c r="DU16" s="39"/>
      <c r="DW16" s="39" t="s">
        <v>1952</v>
      </c>
      <c r="DX16" s="39"/>
      <c r="DY16" s="39"/>
      <c r="DZ16" s="39"/>
      <c r="EA16" s="39"/>
      <c r="EI16" s="39" t="s">
        <v>1979</v>
      </c>
      <c r="EJ16" s="39"/>
      <c r="EK16" s="39"/>
      <c r="EL16" s="39"/>
      <c r="EM16" s="39"/>
      <c r="EO16" s="39" t="s">
        <v>2014</v>
      </c>
      <c r="EP16" s="39"/>
      <c r="EQ16" s="39"/>
      <c r="ER16" s="39"/>
      <c r="ES16" s="39"/>
      <c r="EU16" s="39" t="s">
        <v>2029</v>
      </c>
      <c r="EV16" s="39"/>
      <c r="EW16" s="39"/>
      <c r="EX16" s="39"/>
      <c r="EY16" s="39"/>
      <c r="FA16" s="39" t="s">
        <v>2029</v>
      </c>
      <c r="FB16" s="39"/>
      <c r="FC16" s="39"/>
      <c r="FD16" s="39"/>
      <c r="FE16" s="39"/>
    </row>
    <row r="17" spans="1:161">
      <c r="A17" s="69" t="s">
        <v>1061</v>
      </c>
      <c r="B17" s="69" t="s">
        <v>1037</v>
      </c>
      <c r="C17" s="90" t="s">
        <v>1038</v>
      </c>
      <c r="D17" s="39"/>
      <c r="E17" s="39"/>
      <c r="BC17" s="39" t="s">
        <v>1635</v>
      </c>
      <c r="BD17" s="147"/>
      <c r="BE17" s="147"/>
      <c r="BF17" s="147"/>
      <c r="BG17" s="147"/>
      <c r="BO17" s="39" t="s">
        <v>1681</v>
      </c>
      <c r="BP17" s="39"/>
      <c r="BQ17" s="39"/>
      <c r="BR17" s="39"/>
      <c r="BS17" s="39"/>
      <c r="BU17" s="149" t="s">
        <v>1709</v>
      </c>
      <c r="BV17" s="39"/>
      <c r="BW17" s="39"/>
      <c r="BX17" s="39"/>
      <c r="BY17" s="39"/>
      <c r="CA17" s="39" t="s">
        <v>1769</v>
      </c>
      <c r="CB17" s="39"/>
      <c r="CC17" s="39"/>
      <c r="CD17" s="39"/>
      <c r="CE17" s="39"/>
      <c r="CG17" s="39" t="s">
        <v>1787</v>
      </c>
      <c r="CH17" s="39"/>
      <c r="CI17" s="39"/>
      <c r="CJ17" s="39"/>
      <c r="CK17" s="39"/>
      <c r="CM17" s="39" t="s">
        <v>1826</v>
      </c>
      <c r="CN17" s="39"/>
      <c r="CO17" s="39"/>
      <c r="CP17" s="39"/>
      <c r="CQ17" s="39"/>
      <c r="CS17" s="39" t="s">
        <v>1872</v>
      </c>
      <c r="CT17" s="39"/>
      <c r="CU17" s="39"/>
      <c r="CV17" s="39"/>
      <c r="CW17" s="39"/>
      <c r="DE17" s="39" t="s">
        <v>1893</v>
      </c>
      <c r="DF17" s="39"/>
      <c r="DG17" s="39"/>
      <c r="DH17" s="39"/>
      <c r="DI17" s="39"/>
      <c r="DK17" s="39" t="s">
        <v>1909</v>
      </c>
      <c r="DL17" s="39"/>
      <c r="DM17" s="39"/>
      <c r="DN17" s="39"/>
      <c r="DO17" s="39"/>
      <c r="DQ17" s="39" t="s">
        <v>1934</v>
      </c>
      <c r="DR17" s="39"/>
      <c r="DS17" s="39"/>
      <c r="DT17" s="39"/>
      <c r="DU17" s="39"/>
      <c r="DW17" s="39" t="s">
        <v>1953</v>
      </c>
      <c r="DX17" s="39"/>
      <c r="DY17" s="39"/>
      <c r="DZ17" s="39"/>
      <c r="EA17" s="39"/>
      <c r="EI17" s="39" t="s">
        <v>1980</v>
      </c>
      <c r="EJ17" s="39"/>
      <c r="EK17" s="39"/>
      <c r="EL17" s="39"/>
      <c r="EM17" s="39"/>
      <c r="EO17" s="39" t="s">
        <v>2015</v>
      </c>
      <c r="EP17" s="39"/>
      <c r="EQ17" s="39"/>
      <c r="ER17" s="39"/>
      <c r="ES17" s="39"/>
      <c r="EU17" s="39" t="s">
        <v>2030</v>
      </c>
      <c r="EV17" s="39"/>
      <c r="EW17" s="39"/>
      <c r="EX17" s="39"/>
      <c r="EY17" s="39"/>
      <c r="FA17" s="39" t="s">
        <v>2030</v>
      </c>
      <c r="FB17" s="39"/>
      <c r="FC17" s="39"/>
      <c r="FD17" s="39"/>
      <c r="FE17" s="39"/>
    </row>
    <row r="18" spans="1:161">
      <c r="A18" s="69" t="s">
        <v>1062</v>
      </c>
      <c r="B18" s="69" t="s">
        <v>1037</v>
      </c>
      <c r="C18" s="90" t="s">
        <v>1038</v>
      </c>
      <c r="D18" s="39"/>
      <c r="E18" s="39"/>
      <c r="BC18" s="39" t="s">
        <v>1636</v>
      </c>
      <c r="BD18" s="147"/>
      <c r="BE18" s="147"/>
      <c r="BF18" s="147"/>
      <c r="BG18" s="147"/>
      <c r="BO18" s="39" t="s">
        <v>1682</v>
      </c>
      <c r="BP18" s="39"/>
      <c r="BQ18" s="39"/>
      <c r="BR18" s="39"/>
      <c r="BS18" s="39"/>
      <c r="BU18" s="149" t="s">
        <v>1710</v>
      </c>
      <c r="BV18" s="39"/>
      <c r="BW18" s="39"/>
      <c r="BX18" s="39"/>
      <c r="BY18" s="39"/>
      <c r="CA18" s="39" t="s">
        <v>1770</v>
      </c>
      <c r="CB18" s="39"/>
      <c r="CC18" s="39"/>
      <c r="CD18" s="39"/>
      <c r="CE18" s="39"/>
      <c r="CG18" s="39" t="s">
        <v>1788</v>
      </c>
      <c r="CH18" s="39"/>
      <c r="CI18" s="39"/>
      <c r="CJ18" s="39"/>
      <c r="CK18" s="39"/>
      <c r="CM18" s="39" t="s">
        <v>1827</v>
      </c>
      <c r="CN18" s="39"/>
      <c r="CO18" s="39"/>
      <c r="CP18" s="39"/>
      <c r="CQ18" s="39"/>
      <c r="CS18" s="39" t="s">
        <v>1873</v>
      </c>
      <c r="CT18" s="39"/>
      <c r="CU18" s="39"/>
      <c r="CV18" s="39"/>
      <c r="CW18" s="39"/>
      <c r="DE18" s="39" t="s">
        <v>1894</v>
      </c>
      <c r="DF18" s="39"/>
      <c r="DG18" s="39"/>
      <c r="DH18" s="39"/>
      <c r="DI18" s="39"/>
      <c r="DK18" s="39" t="s">
        <v>1910</v>
      </c>
      <c r="DL18" s="39"/>
      <c r="DM18" s="39"/>
      <c r="DN18" s="39"/>
      <c r="DO18" s="39"/>
      <c r="DQ18" s="39" t="s">
        <v>1300</v>
      </c>
      <c r="DR18" s="39"/>
      <c r="DS18" s="39"/>
      <c r="DT18" s="39"/>
      <c r="DU18" s="39"/>
      <c r="DW18" s="39" t="s">
        <v>1954</v>
      </c>
      <c r="DX18" s="39"/>
      <c r="DY18" s="39"/>
      <c r="DZ18" s="39"/>
      <c r="EA18" s="39"/>
      <c r="EI18" s="39" t="s">
        <v>1981</v>
      </c>
      <c r="EJ18" s="39"/>
      <c r="EK18" s="39"/>
      <c r="EL18" s="39"/>
      <c r="EM18" s="39"/>
      <c r="EO18" s="39" t="s">
        <v>2016</v>
      </c>
      <c r="EP18" s="39"/>
      <c r="EQ18" s="39"/>
      <c r="ER18" s="39"/>
      <c r="ES18" s="39"/>
      <c r="EU18" s="39" t="s">
        <v>2031</v>
      </c>
      <c r="EV18" s="39"/>
      <c r="EW18" s="39"/>
      <c r="EX18" s="39"/>
      <c r="EY18" s="39"/>
      <c r="FA18" s="39" t="s">
        <v>2031</v>
      </c>
      <c r="FB18" s="39"/>
      <c r="FC18" s="39"/>
      <c r="FD18" s="39"/>
      <c r="FE18" s="39"/>
    </row>
    <row r="19" spans="1:161">
      <c r="A19" s="69" t="s">
        <v>1063</v>
      </c>
      <c r="B19" s="69" t="s">
        <v>1039</v>
      </c>
      <c r="C19" s="90" t="s">
        <v>1038</v>
      </c>
      <c r="D19" s="39"/>
      <c r="E19" s="39"/>
      <c r="BC19" s="39" t="s">
        <v>1637</v>
      </c>
      <c r="BD19" s="147"/>
      <c r="BE19" s="147"/>
      <c r="BF19" s="147"/>
      <c r="BG19" s="147"/>
      <c r="BO19" s="39" t="s">
        <v>1683</v>
      </c>
      <c r="BP19" s="39"/>
      <c r="BQ19" s="39"/>
      <c r="BR19" s="39"/>
      <c r="BS19" s="39"/>
      <c r="BU19" s="149" t="s">
        <v>1711</v>
      </c>
      <c r="BV19" s="39"/>
      <c r="BW19" s="39"/>
      <c r="BX19" s="39"/>
      <c r="BY19" s="39"/>
      <c r="CA19" s="39" t="s">
        <v>1771</v>
      </c>
      <c r="CB19" s="39"/>
      <c r="CC19" s="39"/>
      <c r="CD19" s="39"/>
      <c r="CE19" s="39"/>
      <c r="CG19" s="39" t="s">
        <v>1789</v>
      </c>
      <c r="CH19" s="39"/>
      <c r="CI19" s="39"/>
      <c r="CJ19" s="39"/>
      <c r="CK19" s="39"/>
      <c r="CM19" s="39" t="s">
        <v>1828</v>
      </c>
      <c r="CN19" s="39"/>
      <c r="CO19" s="39"/>
      <c r="CP19" s="39"/>
      <c r="CQ19" s="39"/>
      <c r="DE19" s="39" t="s">
        <v>1895</v>
      </c>
      <c r="DF19" s="39"/>
      <c r="DG19" s="39"/>
      <c r="DH19" s="39"/>
      <c r="DI19" s="39"/>
      <c r="DK19" s="39" t="s">
        <v>1911</v>
      </c>
      <c r="DL19" s="39"/>
      <c r="DM19" s="39"/>
      <c r="DN19" s="39"/>
      <c r="DO19" s="39"/>
      <c r="DQ19" s="39" t="s">
        <v>1935</v>
      </c>
      <c r="DR19" s="39"/>
      <c r="DS19" s="39"/>
      <c r="DT19" s="39"/>
      <c r="DU19" s="39"/>
      <c r="DW19" s="39" t="s">
        <v>1955</v>
      </c>
      <c r="DX19" s="39"/>
      <c r="DY19" s="39"/>
      <c r="DZ19" s="39"/>
      <c r="EA19" s="39"/>
      <c r="EI19" s="39" t="s">
        <v>1982</v>
      </c>
      <c r="EJ19" s="39"/>
      <c r="EK19" s="39"/>
      <c r="EL19" s="39"/>
      <c r="EM19" s="39"/>
      <c r="EO19" s="39" t="s">
        <v>2017</v>
      </c>
      <c r="EP19" s="39"/>
      <c r="EQ19" s="39"/>
      <c r="ER19" s="39"/>
      <c r="ES19" s="39"/>
      <c r="EU19" s="39" t="s">
        <v>2032</v>
      </c>
      <c r="EV19" s="39"/>
      <c r="EW19" s="39"/>
      <c r="EX19" s="39"/>
      <c r="EY19" s="39"/>
      <c r="FA19" s="39" t="s">
        <v>2032</v>
      </c>
      <c r="FB19" s="39"/>
      <c r="FC19" s="39"/>
      <c r="FD19" s="39"/>
      <c r="FE19" s="39"/>
    </row>
    <row r="20" spans="1:161">
      <c r="A20" s="69" t="s">
        <v>1064</v>
      </c>
      <c r="B20" s="69" t="s">
        <v>1039</v>
      </c>
      <c r="C20" s="90" t="s">
        <v>1038</v>
      </c>
      <c r="D20" s="39"/>
      <c r="E20" s="39"/>
      <c r="BC20" s="39" t="s">
        <v>1638</v>
      </c>
      <c r="BD20" s="147"/>
      <c r="BE20" s="147"/>
      <c r="BF20" s="147"/>
      <c r="BG20" s="147"/>
      <c r="BO20" s="39" t="s">
        <v>1684</v>
      </c>
      <c r="BP20" s="39"/>
      <c r="BQ20" s="39"/>
      <c r="BR20" s="39"/>
      <c r="BS20" s="39"/>
      <c r="BU20" s="149" t="s">
        <v>1712</v>
      </c>
      <c r="BV20" s="39"/>
      <c r="BW20" s="39"/>
      <c r="BX20" s="39"/>
      <c r="BY20" s="39"/>
      <c r="CA20" s="39" t="s">
        <v>1772</v>
      </c>
      <c r="CB20" s="39"/>
      <c r="CC20" s="39"/>
      <c r="CD20" s="39"/>
      <c r="CE20" s="39"/>
      <c r="CG20" s="39" t="s">
        <v>1790</v>
      </c>
      <c r="CH20" s="39"/>
      <c r="CI20" s="39"/>
      <c r="CJ20" s="39"/>
      <c r="CK20" s="39"/>
      <c r="CM20" s="39" t="s">
        <v>1785</v>
      </c>
      <c r="CN20" s="39"/>
      <c r="CO20" s="39"/>
      <c r="CP20" s="39"/>
      <c r="CQ20" s="39"/>
      <c r="DK20" s="39" t="s">
        <v>1912</v>
      </c>
      <c r="DL20" s="39"/>
      <c r="DM20" s="39"/>
      <c r="DN20" s="39"/>
      <c r="DO20" s="39"/>
      <c r="DQ20" s="39" t="s">
        <v>1936</v>
      </c>
      <c r="DR20" s="39"/>
      <c r="DS20" s="39"/>
      <c r="DT20" s="39"/>
      <c r="DU20" s="39"/>
      <c r="DW20" s="39" t="s">
        <v>1956</v>
      </c>
      <c r="DX20" s="39"/>
      <c r="DY20" s="39"/>
      <c r="DZ20" s="39"/>
      <c r="EA20" s="39"/>
      <c r="EI20" s="39" t="s">
        <v>1983</v>
      </c>
      <c r="EJ20" s="39"/>
      <c r="EK20" s="39"/>
      <c r="EL20" s="39"/>
      <c r="EM20" s="39"/>
      <c r="EU20" s="39" t="s">
        <v>2033</v>
      </c>
      <c r="EV20" s="39"/>
      <c r="EW20" s="39"/>
      <c r="EX20" s="39"/>
      <c r="EY20" s="39"/>
      <c r="FA20" s="39" t="s">
        <v>2033</v>
      </c>
      <c r="FB20" s="39"/>
      <c r="FC20" s="39"/>
      <c r="FD20" s="39"/>
      <c r="FE20" s="39"/>
    </row>
    <row r="21" spans="1:161">
      <c r="A21" s="69" t="s">
        <v>1065</v>
      </c>
      <c r="B21" s="69" t="s">
        <v>1037</v>
      </c>
      <c r="C21" s="90" t="s">
        <v>1038</v>
      </c>
      <c r="D21" s="39"/>
      <c r="E21" s="39"/>
      <c r="BC21" s="39" t="s">
        <v>1639</v>
      </c>
      <c r="BD21" s="147"/>
      <c r="BE21" s="147"/>
      <c r="BF21" s="147"/>
      <c r="BG21" s="147"/>
      <c r="BO21" s="39" t="s">
        <v>1685</v>
      </c>
      <c r="BP21" s="39"/>
      <c r="BQ21" s="39"/>
      <c r="BR21" s="39"/>
      <c r="BS21" s="39"/>
      <c r="BU21" s="149" t="s">
        <v>1713</v>
      </c>
      <c r="BV21" s="39"/>
      <c r="BW21" s="39"/>
      <c r="BX21" s="39"/>
      <c r="BY21" s="39"/>
      <c r="CA21" s="39" t="s">
        <v>1773</v>
      </c>
      <c r="CB21" s="39"/>
      <c r="CC21" s="39"/>
      <c r="CD21" s="39"/>
      <c r="CE21" s="39"/>
      <c r="CG21" s="39" t="s">
        <v>1791</v>
      </c>
      <c r="CH21" s="39"/>
      <c r="CI21" s="39"/>
      <c r="CJ21" s="39"/>
      <c r="CK21" s="39"/>
      <c r="CM21" s="39" t="s">
        <v>1829</v>
      </c>
      <c r="CN21" s="39"/>
      <c r="CO21" s="39"/>
      <c r="CP21" s="39"/>
      <c r="CQ21" s="39"/>
      <c r="DK21" s="39" t="s">
        <v>1913</v>
      </c>
      <c r="DL21" s="39"/>
      <c r="DM21" s="39"/>
      <c r="DN21" s="39"/>
      <c r="DO21" s="39"/>
      <c r="DQ21" s="39" t="s">
        <v>1937</v>
      </c>
      <c r="DR21" s="39"/>
      <c r="DS21" s="39"/>
      <c r="DT21" s="39"/>
      <c r="DU21" s="39"/>
      <c r="DW21" s="39" t="s">
        <v>1957</v>
      </c>
      <c r="DX21" s="39"/>
      <c r="DY21" s="39"/>
      <c r="DZ21" s="39"/>
      <c r="EA21" s="39"/>
      <c r="EI21" s="39" t="s">
        <v>1984</v>
      </c>
      <c r="EJ21" s="39"/>
      <c r="EK21" s="39"/>
      <c r="EL21" s="39"/>
      <c r="EM21" s="39"/>
      <c r="EU21" s="39" t="s">
        <v>2034</v>
      </c>
      <c r="EV21" s="39"/>
      <c r="EW21" s="39"/>
      <c r="EX21" s="39"/>
      <c r="EY21" s="39"/>
      <c r="FA21" s="39" t="s">
        <v>2034</v>
      </c>
      <c r="FB21" s="39"/>
      <c r="FC21" s="39"/>
      <c r="FD21" s="39"/>
      <c r="FE21" s="39"/>
    </row>
    <row r="22" spans="1:161">
      <c r="A22" s="69" t="s">
        <v>1066</v>
      </c>
      <c r="B22" s="69" t="s">
        <v>1039</v>
      </c>
      <c r="C22" s="90" t="s">
        <v>1038</v>
      </c>
      <c r="D22" s="39"/>
      <c r="E22" s="39"/>
      <c r="BC22" s="39" t="s">
        <v>1640</v>
      </c>
      <c r="BD22" s="147"/>
      <c r="BE22" s="147"/>
      <c r="BF22" s="147"/>
      <c r="BG22" s="147"/>
      <c r="BO22" s="39" t="s">
        <v>1686</v>
      </c>
      <c r="BP22" s="39"/>
      <c r="BQ22" s="39"/>
      <c r="BR22" s="39"/>
      <c r="BS22" s="39"/>
      <c r="BU22" s="149" t="s">
        <v>1714</v>
      </c>
      <c r="BV22" s="39"/>
      <c r="BW22" s="39"/>
      <c r="BX22" s="39"/>
      <c r="BY22" s="39"/>
      <c r="CA22" s="39" t="s">
        <v>1774</v>
      </c>
      <c r="CB22" s="39"/>
      <c r="CC22" s="39"/>
      <c r="CD22" s="39"/>
      <c r="CE22" s="39"/>
      <c r="CG22" s="39" t="s">
        <v>1792</v>
      </c>
      <c r="CH22" s="39"/>
      <c r="CI22" s="39"/>
      <c r="CJ22" s="39"/>
      <c r="CK22" s="39"/>
      <c r="CM22" s="39" t="s">
        <v>1830</v>
      </c>
      <c r="CN22" s="39"/>
      <c r="CO22" s="39"/>
      <c r="CP22" s="39"/>
      <c r="CQ22" s="39"/>
      <c r="DK22" s="39" t="s">
        <v>1914</v>
      </c>
      <c r="DL22" s="39"/>
      <c r="DM22" s="39"/>
      <c r="DN22" s="39"/>
      <c r="DO22" s="39"/>
      <c r="DQ22" s="39" t="s">
        <v>1938</v>
      </c>
      <c r="DR22" s="39"/>
      <c r="DS22" s="39"/>
      <c r="DT22" s="39"/>
      <c r="DU22" s="39"/>
      <c r="DW22" s="39" t="s">
        <v>1958</v>
      </c>
      <c r="DX22" s="39"/>
      <c r="DY22" s="39"/>
      <c r="DZ22" s="39"/>
      <c r="EA22" s="39"/>
      <c r="EI22" s="39" t="s">
        <v>1985</v>
      </c>
      <c r="EJ22" s="39"/>
      <c r="EK22" s="39"/>
      <c r="EL22" s="39"/>
      <c r="EM22" s="39"/>
      <c r="EU22" s="39" t="s">
        <v>2035</v>
      </c>
      <c r="EV22" s="39"/>
      <c r="EW22" s="39"/>
      <c r="EX22" s="39"/>
      <c r="EY22" s="39"/>
      <c r="FA22" s="39" t="s">
        <v>2035</v>
      </c>
      <c r="FB22" s="39"/>
      <c r="FC22" s="39"/>
      <c r="FD22" s="39"/>
      <c r="FE22" s="39"/>
    </row>
    <row r="23" spans="1:161">
      <c r="A23" s="69" t="s">
        <v>1067</v>
      </c>
      <c r="B23" s="69" t="s">
        <v>1037</v>
      </c>
      <c r="C23" s="90" t="s">
        <v>1038</v>
      </c>
      <c r="D23" s="39"/>
      <c r="E23" s="39"/>
      <c r="BC23" s="39" t="s">
        <v>1641</v>
      </c>
      <c r="BD23" s="147"/>
      <c r="BE23" s="147"/>
      <c r="BF23" s="147"/>
      <c r="BG23" s="147"/>
      <c r="BO23" s="39" t="s">
        <v>1687</v>
      </c>
      <c r="BP23" s="39"/>
      <c r="BQ23" s="39"/>
      <c r="BR23" s="39"/>
      <c r="BS23" s="39"/>
      <c r="BU23" s="149" t="s">
        <v>1715</v>
      </c>
      <c r="BV23" s="39"/>
      <c r="BW23" s="39"/>
      <c r="BX23" s="39"/>
      <c r="BY23" s="39"/>
      <c r="CG23" s="39" t="s">
        <v>1793</v>
      </c>
      <c r="CH23" s="39"/>
      <c r="CI23" s="39"/>
      <c r="CJ23" s="39"/>
      <c r="CK23" s="39"/>
      <c r="CM23" s="39" t="s">
        <v>1831</v>
      </c>
      <c r="CN23" s="39"/>
      <c r="CO23" s="39"/>
      <c r="CP23" s="39"/>
      <c r="CQ23" s="39"/>
      <c r="DK23" s="39" t="s">
        <v>1915</v>
      </c>
      <c r="DL23" s="39"/>
      <c r="DM23" s="39"/>
      <c r="DN23" s="39"/>
      <c r="DO23" s="39"/>
      <c r="DQ23" s="39" t="s">
        <v>1939</v>
      </c>
      <c r="DR23" s="39"/>
      <c r="DS23" s="39"/>
      <c r="DT23" s="39"/>
      <c r="DU23" s="39"/>
      <c r="DW23" s="39" t="s">
        <v>1959</v>
      </c>
      <c r="DX23" s="39"/>
      <c r="DY23" s="39"/>
      <c r="DZ23" s="39"/>
      <c r="EA23" s="39"/>
      <c r="EI23" s="39" t="s">
        <v>1986</v>
      </c>
      <c r="EJ23" s="39"/>
      <c r="EK23" s="39"/>
      <c r="EL23" s="39"/>
      <c r="EM23" s="39"/>
      <c r="EU23" s="39" t="s">
        <v>2036</v>
      </c>
      <c r="EV23" s="39"/>
      <c r="EW23" s="39"/>
      <c r="EX23" s="39"/>
      <c r="EY23" s="39"/>
      <c r="FA23" s="39" t="s">
        <v>2036</v>
      </c>
      <c r="FB23" s="39"/>
      <c r="FC23" s="39"/>
      <c r="FD23" s="39"/>
      <c r="FE23" s="39"/>
    </row>
    <row r="24" spans="1:161">
      <c r="A24" s="69" t="s">
        <v>1068</v>
      </c>
      <c r="B24" s="69" t="s">
        <v>1039</v>
      </c>
      <c r="C24" s="90" t="s">
        <v>1038</v>
      </c>
      <c r="D24" s="39"/>
      <c r="E24" s="39"/>
      <c r="BC24" s="39" t="s">
        <v>1642</v>
      </c>
      <c r="BD24" s="147"/>
      <c r="BE24" s="147"/>
      <c r="BF24" s="147"/>
      <c r="BG24" s="147"/>
      <c r="BO24" s="39" t="s">
        <v>1688</v>
      </c>
      <c r="BP24" s="39"/>
      <c r="BQ24" s="39"/>
      <c r="BR24" s="39"/>
      <c r="BS24" s="39"/>
      <c r="BU24" s="149" t="s">
        <v>1716</v>
      </c>
      <c r="BV24" s="39"/>
      <c r="BW24" s="39"/>
      <c r="BX24" s="39"/>
      <c r="BY24" s="39"/>
      <c r="CG24" s="39" t="s">
        <v>1794</v>
      </c>
      <c r="CH24" s="39"/>
      <c r="CI24" s="39"/>
      <c r="CJ24" s="39"/>
      <c r="CK24" s="39"/>
      <c r="CM24" s="39" t="s">
        <v>1794</v>
      </c>
      <c r="CN24" s="39"/>
      <c r="CO24" s="39"/>
      <c r="CP24" s="39"/>
      <c r="CQ24" s="39"/>
      <c r="DK24" s="39" t="s">
        <v>1916</v>
      </c>
      <c r="DL24" s="39"/>
      <c r="DM24" s="39"/>
      <c r="DN24" s="39"/>
      <c r="DO24" s="39"/>
      <c r="DW24" s="39" t="s">
        <v>1960</v>
      </c>
      <c r="DX24" s="39"/>
      <c r="DY24" s="39"/>
      <c r="DZ24" s="39"/>
      <c r="EA24" s="39"/>
      <c r="EI24" s="39" t="s">
        <v>1987</v>
      </c>
      <c r="EJ24" s="39"/>
      <c r="EK24" s="39"/>
      <c r="EL24" s="39"/>
      <c r="EM24" s="39"/>
      <c r="EU24" s="39" t="s">
        <v>2037</v>
      </c>
      <c r="EV24" s="39"/>
      <c r="EW24" s="39"/>
      <c r="EX24" s="39"/>
      <c r="EY24" s="39"/>
      <c r="FA24" s="39" t="s">
        <v>2037</v>
      </c>
      <c r="FB24" s="39"/>
      <c r="FC24" s="39"/>
      <c r="FD24" s="39"/>
      <c r="FE24" s="39"/>
    </row>
    <row r="25" spans="1:161">
      <c r="A25" s="69" t="s">
        <v>1069</v>
      </c>
      <c r="B25" s="69" t="s">
        <v>1037</v>
      </c>
      <c r="C25" s="90" t="s">
        <v>1038</v>
      </c>
      <c r="D25" s="39"/>
      <c r="E25" s="39"/>
      <c r="BC25" s="39" t="s">
        <v>1643</v>
      </c>
      <c r="BD25" s="147"/>
      <c r="BE25" s="147"/>
      <c r="BF25" s="147"/>
      <c r="BG25" s="147"/>
      <c r="BO25" s="39" t="s">
        <v>1689</v>
      </c>
      <c r="BP25" s="39"/>
      <c r="BQ25" s="39"/>
      <c r="BR25" s="39"/>
      <c r="BS25" s="39"/>
      <c r="BU25" s="149" t="s">
        <v>1717</v>
      </c>
      <c r="BV25" s="39"/>
      <c r="BW25" s="39"/>
      <c r="BX25" s="39"/>
      <c r="BY25" s="39"/>
      <c r="CG25" s="39" t="s">
        <v>1795</v>
      </c>
      <c r="CH25" s="39"/>
      <c r="CI25" s="39"/>
      <c r="CJ25" s="39"/>
      <c r="CK25" s="39"/>
      <c r="CM25" s="39" t="s">
        <v>1832</v>
      </c>
      <c r="CN25" s="39"/>
      <c r="CO25" s="39"/>
      <c r="CP25" s="39"/>
      <c r="CQ25" s="39"/>
      <c r="DK25" s="39" t="s">
        <v>1917</v>
      </c>
      <c r="DL25" s="39"/>
      <c r="DM25" s="39"/>
      <c r="DN25" s="39"/>
      <c r="DO25" s="39"/>
      <c r="EI25" s="39" t="s">
        <v>1988</v>
      </c>
      <c r="EJ25" s="39"/>
      <c r="EK25" s="39"/>
      <c r="EL25" s="39"/>
      <c r="EM25" s="39"/>
      <c r="EU25" s="39" t="s">
        <v>2038</v>
      </c>
      <c r="EV25" s="39"/>
      <c r="EW25" s="39"/>
      <c r="EX25" s="39"/>
      <c r="EY25" s="39"/>
      <c r="FA25" s="39" t="s">
        <v>2038</v>
      </c>
      <c r="FB25" s="39"/>
      <c r="FC25" s="39"/>
      <c r="FD25" s="39"/>
      <c r="FE25" s="39"/>
    </row>
    <row r="26" spans="1:161">
      <c r="A26" s="69" t="s">
        <v>1070</v>
      </c>
      <c r="B26" s="69" t="s">
        <v>1039</v>
      </c>
      <c r="C26" s="90" t="s">
        <v>1038</v>
      </c>
      <c r="D26" s="39"/>
      <c r="E26" s="39"/>
      <c r="BC26" s="39" t="s">
        <v>1644</v>
      </c>
      <c r="BD26" s="147"/>
      <c r="BE26" s="147"/>
      <c r="BF26" s="147"/>
      <c r="BG26" s="147"/>
      <c r="BO26" s="39" t="s">
        <v>1690</v>
      </c>
      <c r="BP26" s="39"/>
      <c r="BQ26" s="39"/>
      <c r="BR26" s="39"/>
      <c r="BS26" s="39"/>
      <c r="BU26" s="149" t="s">
        <v>1718</v>
      </c>
      <c r="BV26" s="39"/>
      <c r="BW26" s="39"/>
      <c r="BX26" s="39"/>
      <c r="BY26" s="39"/>
      <c r="CG26" s="39" t="s">
        <v>1796</v>
      </c>
      <c r="CH26" s="39"/>
      <c r="CI26" s="39"/>
      <c r="CJ26" s="39"/>
      <c r="CK26" s="39"/>
      <c r="CM26" s="39" t="s">
        <v>1833</v>
      </c>
      <c r="CN26" s="39"/>
      <c r="CO26" s="39"/>
      <c r="CP26" s="39"/>
      <c r="CQ26" s="39"/>
      <c r="DK26" s="39" t="s">
        <v>1918</v>
      </c>
      <c r="DL26" s="39"/>
      <c r="DM26" s="39"/>
      <c r="DN26" s="39"/>
      <c r="DO26" s="39"/>
      <c r="EI26" s="39" t="s">
        <v>1989</v>
      </c>
      <c r="EJ26" s="39"/>
      <c r="EK26" s="39"/>
      <c r="EL26" s="39"/>
      <c r="EM26" s="39"/>
      <c r="EU26" s="39" t="s">
        <v>2039</v>
      </c>
      <c r="EV26" s="39"/>
      <c r="EW26" s="39"/>
      <c r="EX26" s="39"/>
      <c r="EY26" s="39"/>
      <c r="FA26" s="39" t="s">
        <v>2039</v>
      </c>
      <c r="FB26" s="39"/>
      <c r="FC26" s="39"/>
      <c r="FD26" s="39"/>
      <c r="FE26" s="39"/>
    </row>
    <row r="27" spans="1:161">
      <c r="A27" s="69" t="s">
        <v>1071</v>
      </c>
      <c r="B27" s="69" t="s">
        <v>1039</v>
      </c>
      <c r="C27" s="90" t="s">
        <v>1038</v>
      </c>
      <c r="D27" s="39"/>
      <c r="E27" s="39"/>
      <c r="BC27" s="39" t="s">
        <v>1645</v>
      </c>
      <c r="BD27" s="147"/>
      <c r="BE27" s="147"/>
      <c r="BF27" s="147"/>
      <c r="BG27" s="147"/>
      <c r="BO27" s="39" t="s">
        <v>1691</v>
      </c>
      <c r="BP27" s="39"/>
      <c r="BQ27" s="39"/>
      <c r="BR27" s="39"/>
      <c r="BS27" s="39"/>
      <c r="BU27" s="149" t="s">
        <v>1719</v>
      </c>
      <c r="BV27" s="39"/>
      <c r="BW27" s="39"/>
      <c r="BX27" s="39"/>
      <c r="BY27" s="39"/>
      <c r="CG27" s="39" t="s">
        <v>1797</v>
      </c>
      <c r="CH27" s="39"/>
      <c r="CI27" s="39"/>
      <c r="CJ27" s="39"/>
      <c r="CK27" s="39"/>
      <c r="CM27" s="39" t="s">
        <v>1834</v>
      </c>
      <c r="CN27" s="39"/>
      <c r="CO27" s="39"/>
      <c r="CP27" s="39"/>
      <c r="CQ27" s="39"/>
      <c r="DK27" s="39" t="s">
        <v>1919</v>
      </c>
      <c r="DL27" s="39"/>
      <c r="DM27" s="39"/>
      <c r="DN27" s="39"/>
      <c r="DO27" s="39"/>
      <c r="EI27" s="39" t="s">
        <v>1990</v>
      </c>
      <c r="EJ27" s="39"/>
      <c r="EK27" s="39"/>
      <c r="EL27" s="39"/>
      <c r="EM27" s="39"/>
      <c r="EU27" s="39" t="s">
        <v>2040</v>
      </c>
      <c r="EV27" s="39"/>
      <c r="EW27" s="39"/>
      <c r="EX27" s="39"/>
      <c r="EY27" s="39"/>
      <c r="FA27" s="39" t="s">
        <v>2040</v>
      </c>
      <c r="FB27" s="39"/>
      <c r="FC27" s="39"/>
      <c r="FD27" s="39"/>
      <c r="FE27" s="39"/>
    </row>
    <row r="28" spans="1:161">
      <c r="A28" s="69" t="s">
        <v>1072</v>
      </c>
      <c r="B28" s="69" t="s">
        <v>1037</v>
      </c>
      <c r="C28" s="90" t="s">
        <v>1038</v>
      </c>
      <c r="D28" s="39"/>
      <c r="E28" s="39"/>
      <c r="BC28" s="39" t="s">
        <v>1646</v>
      </c>
      <c r="BD28" s="147"/>
      <c r="BE28" s="147"/>
      <c r="BF28" s="147"/>
      <c r="BG28" s="147"/>
      <c r="BO28" s="39" t="s">
        <v>1692</v>
      </c>
      <c r="BP28" s="39"/>
      <c r="BQ28" s="39"/>
      <c r="BR28" s="39"/>
      <c r="BS28" s="39"/>
      <c r="BU28" s="149" t="s">
        <v>1720</v>
      </c>
      <c r="BV28" s="39"/>
      <c r="BW28" s="39"/>
      <c r="BX28" s="39"/>
      <c r="BY28" s="39"/>
      <c r="CG28" s="39" t="s">
        <v>1798</v>
      </c>
      <c r="CH28" s="39"/>
      <c r="CI28" s="39"/>
      <c r="CJ28" s="39"/>
      <c r="CK28" s="39"/>
      <c r="CM28" s="39" t="s">
        <v>1835</v>
      </c>
      <c r="CN28" s="39"/>
      <c r="CO28" s="39"/>
      <c r="CP28" s="39"/>
      <c r="CQ28" s="39"/>
      <c r="DK28" s="39" t="s">
        <v>1920</v>
      </c>
      <c r="DL28" s="39"/>
      <c r="DM28" s="39"/>
      <c r="DN28" s="39"/>
      <c r="DO28" s="39"/>
      <c r="EI28" s="39" t="s">
        <v>1991</v>
      </c>
      <c r="EJ28" s="39"/>
      <c r="EK28" s="39"/>
      <c r="EL28" s="39"/>
      <c r="EM28" s="39"/>
      <c r="EU28" s="39" t="s">
        <v>2041</v>
      </c>
      <c r="EV28" s="39"/>
      <c r="EW28" s="39"/>
      <c r="EX28" s="39"/>
      <c r="EY28" s="39"/>
      <c r="FA28" s="39" t="s">
        <v>2041</v>
      </c>
      <c r="FB28" s="39"/>
      <c r="FC28" s="39"/>
      <c r="FD28" s="39"/>
      <c r="FE28" s="39"/>
    </row>
    <row r="29" spans="1:161">
      <c r="A29" s="69" t="s">
        <v>1073</v>
      </c>
      <c r="B29" s="69" t="s">
        <v>1037</v>
      </c>
      <c r="C29" s="90" t="s">
        <v>1038</v>
      </c>
      <c r="D29" s="39"/>
      <c r="E29" s="39"/>
      <c r="BC29" s="39" t="s">
        <v>1647</v>
      </c>
      <c r="BD29" s="147"/>
      <c r="BE29" s="147"/>
      <c r="BF29" s="147"/>
      <c r="BG29" s="147"/>
      <c r="BO29" s="39" t="s">
        <v>1693</v>
      </c>
      <c r="BP29" s="39"/>
      <c r="BQ29" s="39"/>
      <c r="BR29" s="39"/>
      <c r="BS29" s="39"/>
      <c r="BU29" s="149" t="s">
        <v>1721</v>
      </c>
      <c r="BV29" s="39"/>
      <c r="BW29" s="39"/>
      <c r="BX29" s="39"/>
      <c r="BY29" s="39"/>
      <c r="CG29" s="39" t="s">
        <v>1799</v>
      </c>
      <c r="CH29" s="39"/>
      <c r="CI29" s="39"/>
      <c r="CJ29" s="39"/>
      <c r="CK29" s="39"/>
      <c r="CM29" s="39" t="s">
        <v>1836</v>
      </c>
      <c r="CN29" s="39"/>
      <c r="CO29" s="39"/>
      <c r="CP29" s="39"/>
      <c r="CQ29" s="39"/>
      <c r="DK29" s="39" t="s">
        <v>1921</v>
      </c>
      <c r="DL29" s="39"/>
      <c r="DM29" s="39"/>
      <c r="DN29" s="39"/>
      <c r="DO29" s="39"/>
      <c r="EI29" s="39" t="s">
        <v>1992</v>
      </c>
      <c r="EJ29" s="39"/>
      <c r="EK29" s="39"/>
      <c r="EL29" s="39"/>
      <c r="EM29" s="39"/>
      <c r="EU29" s="39" t="s">
        <v>2042</v>
      </c>
      <c r="EV29" s="39"/>
      <c r="EW29" s="39"/>
      <c r="EX29" s="39"/>
      <c r="EY29" s="39"/>
      <c r="FA29" s="39" t="s">
        <v>2042</v>
      </c>
      <c r="FB29" s="39"/>
      <c r="FC29" s="39"/>
      <c r="FD29" s="39"/>
      <c r="FE29" s="39"/>
    </row>
    <row r="30" spans="1:161">
      <c r="A30" s="69" t="s">
        <v>1074</v>
      </c>
      <c r="B30" s="69" t="s">
        <v>1037</v>
      </c>
      <c r="C30" s="90" t="s">
        <v>1038</v>
      </c>
      <c r="D30" s="39"/>
      <c r="E30" s="39"/>
      <c r="BC30" s="39" t="s">
        <v>1648</v>
      </c>
      <c r="BD30" s="147"/>
      <c r="BE30" s="147"/>
      <c r="BF30" s="147"/>
      <c r="BG30" s="147"/>
      <c r="BO30" s="39" t="s">
        <v>1694</v>
      </c>
      <c r="BP30" s="39"/>
      <c r="BQ30" s="39"/>
      <c r="BR30" s="39"/>
      <c r="BS30" s="39"/>
      <c r="BU30" s="149" t="s">
        <v>1722</v>
      </c>
      <c r="BV30" s="39"/>
      <c r="BW30" s="39"/>
      <c r="BX30" s="39"/>
      <c r="BY30" s="39"/>
      <c r="CG30" s="39" t="s">
        <v>1800</v>
      </c>
      <c r="CH30" s="39"/>
      <c r="CI30" s="39"/>
      <c r="CJ30" s="39"/>
      <c r="CK30" s="39"/>
      <c r="CM30" s="39" t="s">
        <v>1837</v>
      </c>
      <c r="CN30" s="39"/>
      <c r="CO30" s="39"/>
      <c r="CP30" s="39"/>
      <c r="CQ30" s="39"/>
      <c r="DK30" s="39" t="s">
        <v>1922</v>
      </c>
      <c r="DL30" s="39"/>
      <c r="DM30" s="39"/>
      <c r="DN30" s="39"/>
      <c r="DO30" s="39"/>
      <c r="EI30" s="39" t="s">
        <v>1993</v>
      </c>
      <c r="EJ30" s="39"/>
      <c r="EK30" s="39"/>
      <c r="EL30" s="39"/>
      <c r="EM30" s="39"/>
      <c r="EU30" s="39" t="s">
        <v>2043</v>
      </c>
      <c r="EV30" s="39"/>
      <c r="EW30" s="39"/>
      <c r="EX30" s="39"/>
      <c r="EY30" s="39"/>
      <c r="FA30" s="39" t="s">
        <v>2043</v>
      </c>
      <c r="FB30" s="39"/>
      <c r="FC30" s="39"/>
      <c r="FD30" s="39"/>
      <c r="FE30" s="39"/>
    </row>
    <row r="31" spans="1:161">
      <c r="A31" s="69" t="s">
        <v>1075</v>
      </c>
      <c r="B31" s="69" t="s">
        <v>1039</v>
      </c>
      <c r="C31" s="90" t="s">
        <v>1038</v>
      </c>
      <c r="D31" s="39"/>
      <c r="E31" s="39"/>
      <c r="BC31" s="39" t="s">
        <v>1649</v>
      </c>
      <c r="BD31" s="147"/>
      <c r="BE31" s="147"/>
      <c r="BF31" s="147"/>
      <c r="BG31" s="147"/>
      <c r="BO31" s="39" t="s">
        <v>1695</v>
      </c>
      <c r="BP31" s="39"/>
      <c r="BQ31" s="39"/>
      <c r="BR31" s="39"/>
      <c r="BS31" s="39"/>
      <c r="BU31" s="149" t="s">
        <v>1723</v>
      </c>
      <c r="BV31" s="39"/>
      <c r="BW31" s="39"/>
      <c r="BX31" s="39"/>
      <c r="BY31" s="39"/>
      <c r="CG31" s="39" t="s">
        <v>1801</v>
      </c>
      <c r="CH31" s="39"/>
      <c r="CI31" s="39"/>
      <c r="CJ31" s="39"/>
      <c r="CK31" s="39"/>
      <c r="CM31" s="39" t="s">
        <v>1838</v>
      </c>
      <c r="CN31" s="39"/>
      <c r="CO31" s="39"/>
      <c r="CP31" s="39"/>
      <c r="CQ31" s="39"/>
      <c r="EI31" s="39" t="s">
        <v>1994</v>
      </c>
      <c r="EJ31" s="39"/>
      <c r="EK31" s="39"/>
      <c r="EL31" s="39"/>
      <c r="EM31" s="39"/>
      <c r="EU31" s="39" t="s">
        <v>2044</v>
      </c>
      <c r="EV31" s="39"/>
      <c r="EW31" s="39"/>
      <c r="EX31" s="39"/>
      <c r="EY31" s="39"/>
      <c r="FA31" s="39" t="s">
        <v>2044</v>
      </c>
      <c r="FB31" s="39"/>
      <c r="FC31" s="39"/>
      <c r="FD31" s="39"/>
      <c r="FE31" s="39"/>
    </row>
    <row r="32" spans="1:161">
      <c r="A32" s="69" t="s">
        <v>1076</v>
      </c>
      <c r="B32" s="69" t="s">
        <v>1037</v>
      </c>
      <c r="C32" s="90" t="s">
        <v>1038</v>
      </c>
      <c r="D32" s="39"/>
      <c r="E32" s="39"/>
      <c r="BC32" s="39" t="s">
        <v>1650</v>
      </c>
      <c r="BD32" s="147"/>
      <c r="BE32" s="147"/>
      <c r="BF32" s="147"/>
      <c r="BG32" s="147"/>
      <c r="BU32" s="149" t="s">
        <v>1724</v>
      </c>
      <c r="BV32" s="39"/>
      <c r="BW32" s="39"/>
      <c r="BX32" s="39"/>
      <c r="BY32" s="39"/>
      <c r="CG32" s="39" t="s">
        <v>1802</v>
      </c>
      <c r="CH32" s="39"/>
      <c r="CI32" s="39"/>
      <c r="CJ32" s="39"/>
      <c r="CK32" s="39"/>
      <c r="CM32" s="39" t="s">
        <v>1839</v>
      </c>
      <c r="CN32" s="39"/>
      <c r="CO32" s="39"/>
      <c r="CP32" s="39"/>
      <c r="CQ32" s="39"/>
      <c r="EI32" s="39" t="s">
        <v>1995</v>
      </c>
      <c r="EJ32" s="39"/>
      <c r="EK32" s="39"/>
      <c r="EL32" s="39"/>
      <c r="EM32" s="39"/>
      <c r="EU32" s="39" t="s">
        <v>2045</v>
      </c>
      <c r="EV32" s="39"/>
      <c r="EW32" s="39"/>
      <c r="EX32" s="39"/>
      <c r="EY32" s="39"/>
      <c r="FA32" s="39" t="s">
        <v>2045</v>
      </c>
      <c r="FB32" s="39"/>
      <c r="FC32" s="39"/>
      <c r="FD32" s="39"/>
      <c r="FE32" s="39"/>
    </row>
    <row r="33" spans="1:161">
      <c r="A33" s="69" t="s">
        <v>1077</v>
      </c>
      <c r="B33" s="69" t="s">
        <v>1037</v>
      </c>
      <c r="C33" s="90" t="s">
        <v>1038</v>
      </c>
      <c r="D33" s="39"/>
      <c r="E33" s="39"/>
      <c r="BC33" s="39" t="s">
        <v>1651</v>
      </c>
      <c r="BD33" s="147"/>
      <c r="BE33" s="147"/>
      <c r="BF33" s="147"/>
      <c r="BG33" s="147"/>
      <c r="BU33" s="149" t="s">
        <v>1725</v>
      </c>
      <c r="BV33" s="39"/>
      <c r="BW33" s="39"/>
      <c r="BX33" s="39"/>
      <c r="BY33" s="39"/>
      <c r="CG33" s="39" t="s">
        <v>1803</v>
      </c>
      <c r="CH33" s="39"/>
      <c r="CI33" s="39"/>
      <c r="CJ33" s="39"/>
      <c r="CK33" s="39"/>
      <c r="CM33" s="39" t="s">
        <v>1840</v>
      </c>
      <c r="CN33" s="39"/>
      <c r="CO33" s="39"/>
      <c r="CP33" s="39"/>
      <c r="CQ33" s="39"/>
      <c r="EI33" s="39" t="s">
        <v>1996</v>
      </c>
      <c r="EJ33" s="39"/>
      <c r="EK33" s="39"/>
      <c r="EL33" s="39"/>
      <c r="EM33" s="39"/>
      <c r="EU33" s="39" t="s">
        <v>2046</v>
      </c>
      <c r="EV33" s="39"/>
      <c r="EW33" s="39"/>
      <c r="EX33" s="39"/>
      <c r="EY33" s="39"/>
      <c r="FA33" s="39" t="s">
        <v>2046</v>
      </c>
      <c r="FB33" s="39"/>
      <c r="FC33" s="39"/>
      <c r="FD33" s="39"/>
      <c r="FE33" s="39"/>
    </row>
    <row r="34" spans="1:161">
      <c r="A34" s="69" t="s">
        <v>1078</v>
      </c>
      <c r="B34" s="69" t="s">
        <v>1039</v>
      </c>
      <c r="C34" s="90" t="s">
        <v>1038</v>
      </c>
      <c r="D34" s="39"/>
      <c r="E34" s="39"/>
      <c r="BC34" s="39" t="s">
        <v>1652</v>
      </c>
      <c r="BD34" s="147"/>
      <c r="BE34" s="147"/>
      <c r="BF34" s="147"/>
      <c r="BG34" s="147"/>
      <c r="BU34" s="149" t="s">
        <v>1726</v>
      </c>
      <c r="BV34" s="39"/>
      <c r="BW34" s="39"/>
      <c r="BX34" s="39"/>
      <c r="BY34" s="39"/>
      <c r="CG34" s="39" t="s">
        <v>1804</v>
      </c>
      <c r="CH34" s="39"/>
      <c r="CI34" s="39"/>
      <c r="CJ34" s="39"/>
      <c r="CK34" s="39"/>
      <c r="CM34" s="39" t="s">
        <v>1841</v>
      </c>
      <c r="CN34" s="39"/>
      <c r="CO34" s="39"/>
      <c r="CP34" s="39"/>
      <c r="CQ34" s="39"/>
      <c r="EI34" s="39" t="s">
        <v>1997</v>
      </c>
      <c r="EJ34" s="39"/>
      <c r="EK34" s="39"/>
      <c r="EL34" s="39"/>
      <c r="EM34" s="39"/>
      <c r="EU34" s="39" t="s">
        <v>2047</v>
      </c>
      <c r="EV34" s="39"/>
      <c r="EW34" s="39"/>
      <c r="EX34" s="39"/>
      <c r="EY34" s="39"/>
      <c r="FA34" s="39" t="s">
        <v>2047</v>
      </c>
      <c r="FB34" s="39"/>
      <c r="FC34" s="39"/>
      <c r="FD34" s="39"/>
      <c r="FE34" s="39"/>
    </row>
    <row r="35" spans="1:161">
      <c r="A35" s="69" t="s">
        <v>1079</v>
      </c>
      <c r="B35" s="69" t="s">
        <v>1037</v>
      </c>
      <c r="C35" s="90" t="s">
        <v>1038</v>
      </c>
      <c r="D35" s="39"/>
      <c r="E35" s="39"/>
      <c r="BC35" s="39" t="s">
        <v>1653</v>
      </c>
      <c r="BD35" s="147"/>
      <c r="BE35" s="147"/>
      <c r="BF35" s="147"/>
      <c r="BG35" s="147"/>
      <c r="BU35" s="149" t="s">
        <v>1727</v>
      </c>
      <c r="BV35" s="39"/>
      <c r="BW35" s="39"/>
      <c r="BX35" s="39"/>
      <c r="BY35" s="39"/>
      <c r="CG35" s="39" t="s">
        <v>1805</v>
      </c>
      <c r="CH35" s="39"/>
      <c r="CI35" s="39"/>
      <c r="CJ35" s="39"/>
      <c r="CK35" s="39"/>
      <c r="CM35" s="39" t="s">
        <v>1842</v>
      </c>
      <c r="CN35" s="39"/>
      <c r="CO35" s="39"/>
      <c r="CP35" s="39"/>
      <c r="CQ35" s="39"/>
      <c r="EI35" s="39" t="s">
        <v>1998</v>
      </c>
      <c r="EJ35" s="39"/>
      <c r="EK35" s="39"/>
      <c r="EL35" s="39"/>
      <c r="EM35" s="39"/>
      <c r="EU35" s="39" t="s">
        <v>2048</v>
      </c>
      <c r="EV35" s="39"/>
      <c r="EW35" s="39"/>
      <c r="EX35" s="39"/>
      <c r="EY35" s="39"/>
      <c r="FA35" s="39" t="s">
        <v>2048</v>
      </c>
      <c r="FB35" s="39"/>
      <c r="FC35" s="39"/>
      <c r="FD35" s="39"/>
      <c r="FE35" s="39"/>
    </row>
    <row r="36" spans="1:161">
      <c r="A36" s="69" t="s">
        <v>1080</v>
      </c>
      <c r="B36" s="69" t="s">
        <v>1037</v>
      </c>
      <c r="C36" s="90" t="s">
        <v>1038</v>
      </c>
      <c r="D36" s="39"/>
      <c r="E36" s="39"/>
      <c r="BC36" s="39" t="s">
        <v>1654</v>
      </c>
      <c r="BD36" s="147"/>
      <c r="BE36" s="147"/>
      <c r="BF36" s="147"/>
      <c r="BG36" s="147"/>
      <c r="BU36" s="149" t="s">
        <v>1728</v>
      </c>
      <c r="BV36" s="39"/>
      <c r="BW36" s="39"/>
      <c r="BX36" s="39"/>
      <c r="BY36" s="39"/>
      <c r="CG36" s="39" t="s">
        <v>1806</v>
      </c>
      <c r="CH36" s="39"/>
      <c r="CI36" s="39"/>
      <c r="CJ36" s="39"/>
      <c r="CK36" s="39"/>
      <c r="CM36" s="39" t="s">
        <v>1843</v>
      </c>
      <c r="CN36" s="39"/>
      <c r="CO36" s="39"/>
      <c r="CP36" s="39"/>
      <c r="CQ36" s="39"/>
      <c r="EI36" s="39" t="s">
        <v>1999</v>
      </c>
      <c r="EJ36" s="39"/>
      <c r="EK36" s="39"/>
      <c r="EL36" s="39"/>
      <c r="EM36" s="39"/>
      <c r="EU36" s="39" t="s">
        <v>2049</v>
      </c>
      <c r="EV36" s="39"/>
      <c r="EW36" s="39"/>
      <c r="EX36" s="39"/>
      <c r="EY36" s="39"/>
      <c r="FA36" s="39" t="s">
        <v>2049</v>
      </c>
      <c r="FB36" s="39"/>
      <c r="FC36" s="39"/>
      <c r="FD36" s="39"/>
      <c r="FE36" s="39"/>
    </row>
    <row r="37" spans="1:161">
      <c r="A37" s="69" t="s">
        <v>1081</v>
      </c>
      <c r="B37" s="69" t="s">
        <v>1037</v>
      </c>
      <c r="C37" s="90" t="s">
        <v>1038</v>
      </c>
      <c r="D37" s="39"/>
      <c r="E37" s="39"/>
      <c r="BC37" s="39" t="s">
        <v>1655</v>
      </c>
      <c r="BD37" s="147"/>
      <c r="BE37" s="147"/>
      <c r="BF37" s="147"/>
      <c r="BG37" s="147"/>
      <c r="BU37" s="149" t="s">
        <v>1729</v>
      </c>
      <c r="BV37" s="39"/>
      <c r="BW37" s="39"/>
      <c r="BX37" s="39"/>
      <c r="BY37" s="39"/>
      <c r="CG37" s="39" t="s">
        <v>1807</v>
      </c>
      <c r="CH37" s="39"/>
      <c r="CI37" s="39"/>
      <c r="CJ37" s="39"/>
      <c r="CK37" s="39"/>
      <c r="CM37" s="39" t="s">
        <v>1844</v>
      </c>
      <c r="CN37" s="39"/>
      <c r="CO37" s="39"/>
      <c r="CP37" s="39"/>
      <c r="CQ37" s="39"/>
      <c r="EI37" s="39" t="s">
        <v>2000</v>
      </c>
      <c r="EJ37" s="39"/>
      <c r="EK37" s="39"/>
      <c r="EL37" s="39"/>
      <c r="EM37" s="39"/>
      <c r="EU37" s="39" t="s">
        <v>2050</v>
      </c>
      <c r="EV37" s="39"/>
      <c r="EW37" s="39"/>
      <c r="EX37" s="39"/>
      <c r="EY37" s="39"/>
      <c r="FA37" s="39" t="s">
        <v>2050</v>
      </c>
      <c r="FB37" s="39"/>
      <c r="FC37" s="39"/>
      <c r="FD37" s="39"/>
      <c r="FE37" s="39"/>
    </row>
    <row r="38" spans="1:161">
      <c r="A38" s="69" t="s">
        <v>1082</v>
      </c>
      <c r="B38" s="69" t="s">
        <v>1037</v>
      </c>
      <c r="C38" s="90" t="s">
        <v>1038</v>
      </c>
      <c r="D38" s="39"/>
      <c r="E38" s="39"/>
      <c r="BC38" s="39" t="s">
        <v>1656</v>
      </c>
      <c r="BD38" s="147"/>
      <c r="BE38" s="147"/>
      <c r="BF38" s="147"/>
      <c r="BG38" s="147"/>
      <c r="BU38" s="149" t="s">
        <v>1730</v>
      </c>
      <c r="BV38" s="39"/>
      <c r="BW38" s="39"/>
      <c r="BX38" s="39"/>
      <c r="BY38" s="39"/>
      <c r="CG38" s="39" t="s">
        <v>1808</v>
      </c>
      <c r="CH38" s="39"/>
      <c r="CI38" s="39"/>
      <c r="CJ38" s="39"/>
      <c r="CK38" s="39"/>
      <c r="CM38" s="39" t="s">
        <v>1845</v>
      </c>
      <c r="CN38" s="39"/>
      <c r="CO38" s="39"/>
      <c r="CP38" s="39"/>
      <c r="CQ38" s="39"/>
      <c r="EI38" s="39" t="s">
        <v>2001</v>
      </c>
      <c r="EJ38" s="39"/>
      <c r="EK38" s="39"/>
      <c r="EL38" s="39"/>
      <c r="EM38" s="39"/>
      <c r="EU38" s="39" t="s">
        <v>2051</v>
      </c>
      <c r="EV38" s="39"/>
      <c r="EW38" s="39"/>
      <c r="EX38" s="39"/>
      <c r="EY38" s="39"/>
      <c r="FA38" s="39" t="s">
        <v>2051</v>
      </c>
      <c r="FB38" s="39"/>
      <c r="FC38" s="39"/>
      <c r="FD38" s="39"/>
      <c r="FE38" s="39"/>
    </row>
    <row r="39" spans="1:161">
      <c r="A39" s="69" t="s">
        <v>1083</v>
      </c>
      <c r="B39" s="69" t="s">
        <v>1037</v>
      </c>
      <c r="C39" s="90" t="s">
        <v>1038</v>
      </c>
      <c r="D39" s="39"/>
      <c r="E39" s="39"/>
      <c r="BC39" s="39" t="s">
        <v>1657</v>
      </c>
      <c r="BD39" s="147"/>
      <c r="BE39" s="147"/>
      <c r="BF39" s="147"/>
      <c r="BG39" s="147"/>
      <c r="BU39" s="149" t="s">
        <v>1731</v>
      </c>
      <c r="BV39" s="39"/>
      <c r="BW39" s="39"/>
      <c r="BX39" s="39"/>
      <c r="BY39" s="39"/>
      <c r="CG39" s="39" t="s">
        <v>1809</v>
      </c>
      <c r="CH39" s="39"/>
      <c r="CI39" s="39"/>
      <c r="CJ39" s="39"/>
      <c r="CK39" s="39"/>
      <c r="CM39" s="39" t="s">
        <v>1846</v>
      </c>
      <c r="CN39" s="39"/>
      <c r="CO39" s="39"/>
      <c r="CP39" s="39"/>
      <c r="CQ39" s="39"/>
      <c r="EI39" s="39" t="s">
        <v>2002</v>
      </c>
      <c r="EJ39" s="39"/>
      <c r="EK39" s="39"/>
      <c r="EL39" s="39"/>
      <c r="EM39" s="39"/>
      <c r="EU39" s="39" t="s">
        <v>2052</v>
      </c>
      <c r="EV39" s="39"/>
      <c r="EW39" s="39"/>
      <c r="EX39" s="39"/>
      <c r="EY39" s="39"/>
      <c r="FA39" s="39" t="s">
        <v>2052</v>
      </c>
      <c r="FB39" s="39"/>
      <c r="FC39" s="39"/>
      <c r="FD39" s="39"/>
      <c r="FE39" s="39"/>
    </row>
    <row r="40" spans="1:161">
      <c r="A40" s="69" t="s">
        <v>1084</v>
      </c>
      <c r="B40" s="69" t="s">
        <v>1037</v>
      </c>
      <c r="C40" s="90" t="s">
        <v>1038</v>
      </c>
      <c r="D40" s="39"/>
      <c r="E40" s="39"/>
      <c r="BC40" s="39" t="s">
        <v>1658</v>
      </c>
      <c r="BD40" s="147"/>
      <c r="BE40" s="147"/>
      <c r="BF40" s="147"/>
      <c r="BG40" s="147"/>
      <c r="BU40" s="149" t="s">
        <v>1732</v>
      </c>
      <c r="BV40" s="39"/>
      <c r="BW40" s="39"/>
      <c r="BX40" s="39"/>
      <c r="BY40" s="39"/>
      <c r="CG40" s="39" t="s">
        <v>1810</v>
      </c>
      <c r="CH40" s="39"/>
      <c r="CI40" s="39"/>
      <c r="CJ40" s="39"/>
      <c r="CK40" s="39"/>
      <c r="CM40" s="39" t="s">
        <v>1847</v>
      </c>
      <c r="CN40" s="39"/>
      <c r="CO40" s="39"/>
      <c r="CP40" s="39"/>
      <c r="CQ40" s="39"/>
      <c r="EU40" s="39" t="s">
        <v>2053</v>
      </c>
      <c r="EV40" s="39"/>
      <c r="EW40" s="39"/>
      <c r="EX40" s="39"/>
      <c r="EY40" s="39"/>
      <c r="FA40" s="39" t="s">
        <v>2053</v>
      </c>
      <c r="FB40" s="39"/>
      <c r="FC40" s="39"/>
      <c r="FD40" s="39"/>
      <c r="FE40" s="39"/>
    </row>
    <row r="41" spans="1:161">
      <c r="A41" s="69" t="s">
        <v>1085</v>
      </c>
      <c r="B41" s="69" t="s">
        <v>1037</v>
      </c>
      <c r="C41" s="90" t="s">
        <v>1038</v>
      </c>
      <c r="D41" s="39"/>
      <c r="E41" s="39"/>
      <c r="BC41" s="39" t="s">
        <v>1659</v>
      </c>
      <c r="BD41" s="147"/>
      <c r="BE41" s="147"/>
      <c r="BF41" s="147"/>
      <c r="BG41" s="147"/>
      <c r="BU41" s="149" t="s">
        <v>1733</v>
      </c>
      <c r="BV41" s="39"/>
      <c r="BW41" s="39"/>
      <c r="BX41" s="39"/>
      <c r="BY41" s="39"/>
      <c r="CG41" s="39" t="s">
        <v>1811</v>
      </c>
      <c r="CH41" s="39"/>
      <c r="CI41" s="39"/>
      <c r="CJ41" s="39"/>
      <c r="CK41" s="39"/>
      <c r="CM41" s="39" t="s">
        <v>1848</v>
      </c>
      <c r="CN41" s="39"/>
      <c r="CO41" s="39"/>
      <c r="CP41" s="39"/>
      <c r="CQ41" s="39"/>
    </row>
    <row r="42" spans="1:161">
      <c r="A42" s="69" t="s">
        <v>1086</v>
      </c>
      <c r="B42" s="69" t="s">
        <v>1037</v>
      </c>
      <c r="C42" s="90" t="s">
        <v>1038</v>
      </c>
      <c r="D42" s="39"/>
      <c r="E42" s="39"/>
      <c r="BC42" s="39" t="s">
        <v>1660</v>
      </c>
      <c r="BD42" s="147"/>
      <c r="BE42" s="147"/>
      <c r="BF42" s="147"/>
      <c r="BG42" s="147"/>
      <c r="BU42" s="149" t="s">
        <v>1734</v>
      </c>
      <c r="BV42" s="39"/>
      <c r="BW42" s="39"/>
      <c r="BX42" s="39"/>
      <c r="BY42" s="39"/>
      <c r="CG42" s="39" t="s">
        <v>1812</v>
      </c>
      <c r="CH42" s="39"/>
      <c r="CI42" s="39"/>
      <c r="CJ42" s="39"/>
      <c r="CK42" s="39"/>
      <c r="CM42" s="39" t="s">
        <v>1849</v>
      </c>
      <c r="CN42" s="39"/>
      <c r="CO42" s="39"/>
      <c r="CP42" s="39"/>
      <c r="CQ42" s="39"/>
    </row>
    <row r="43" spans="1:161">
      <c r="A43" s="69" t="s">
        <v>1087</v>
      </c>
      <c r="B43" s="69" t="s">
        <v>1037</v>
      </c>
      <c r="C43" s="90" t="s">
        <v>1038</v>
      </c>
      <c r="D43" s="39"/>
      <c r="E43" s="39"/>
      <c r="BU43" s="149" t="s">
        <v>1735</v>
      </c>
      <c r="BV43" s="39"/>
      <c r="BW43" s="39"/>
      <c r="BX43" s="39"/>
      <c r="BY43" s="39"/>
      <c r="CG43" s="39" t="s">
        <v>1813</v>
      </c>
      <c r="CH43" s="39"/>
      <c r="CI43" s="39"/>
      <c r="CJ43" s="39"/>
      <c r="CK43" s="39"/>
      <c r="CM43" s="39" t="s">
        <v>1850</v>
      </c>
      <c r="CN43" s="39"/>
      <c r="CO43" s="39"/>
      <c r="CP43" s="39"/>
      <c r="CQ43" s="39"/>
    </row>
    <row r="44" spans="1:161">
      <c r="A44" s="69" t="s">
        <v>1088</v>
      </c>
      <c r="B44" s="69" t="s">
        <v>1037</v>
      </c>
      <c r="C44" s="90" t="s">
        <v>1038</v>
      </c>
      <c r="D44" s="39"/>
      <c r="E44" s="39"/>
      <c r="BU44" s="149" t="s">
        <v>1736</v>
      </c>
      <c r="BV44" s="39"/>
      <c r="BW44" s="39"/>
      <c r="BX44" s="39"/>
      <c r="BY44" s="39"/>
      <c r="CM44" s="39" t="s">
        <v>1851</v>
      </c>
      <c r="CN44" s="39"/>
      <c r="CO44" s="39"/>
      <c r="CP44" s="39"/>
      <c r="CQ44" s="39"/>
    </row>
    <row r="45" spans="1:161">
      <c r="A45" s="69" t="s">
        <v>1089</v>
      </c>
      <c r="B45" s="69" t="s">
        <v>1037</v>
      </c>
      <c r="C45" s="90" t="s">
        <v>1038</v>
      </c>
      <c r="D45" s="39"/>
      <c r="E45" s="39"/>
      <c r="BU45" s="149" t="s">
        <v>1737</v>
      </c>
      <c r="BV45" s="39"/>
      <c r="BW45" s="39"/>
      <c r="BX45" s="39"/>
      <c r="BY45" s="39"/>
      <c r="CM45" s="39" t="s">
        <v>1852</v>
      </c>
      <c r="CN45" s="39"/>
      <c r="CO45" s="39"/>
      <c r="CP45" s="39"/>
      <c r="CQ45" s="39"/>
    </row>
    <row r="46" spans="1:161">
      <c r="A46" s="69" t="s">
        <v>1090</v>
      </c>
      <c r="B46" s="69" t="s">
        <v>1037</v>
      </c>
      <c r="C46" s="90" t="s">
        <v>1038</v>
      </c>
      <c r="D46" s="39"/>
      <c r="E46" s="39"/>
      <c r="BU46" s="149" t="s">
        <v>1738</v>
      </c>
      <c r="BV46" s="39"/>
      <c r="BW46" s="39"/>
      <c r="BX46" s="39"/>
      <c r="BY46" s="39"/>
      <c r="CM46" s="39" t="s">
        <v>1853</v>
      </c>
      <c r="CN46" s="39"/>
      <c r="CO46" s="39"/>
      <c r="CP46" s="39"/>
      <c r="CQ46" s="39"/>
    </row>
    <row r="47" spans="1:161">
      <c r="A47" s="69" t="s">
        <v>1091</v>
      </c>
      <c r="B47" s="69" t="s">
        <v>1037</v>
      </c>
      <c r="C47" s="90" t="s">
        <v>1038</v>
      </c>
      <c r="D47" s="39"/>
      <c r="E47" s="39"/>
      <c r="BU47" s="149" t="s">
        <v>1739</v>
      </c>
      <c r="BV47" s="39"/>
      <c r="BW47" s="39"/>
      <c r="BX47" s="39"/>
      <c r="BY47" s="39"/>
      <c r="CM47" s="39" t="s">
        <v>1854</v>
      </c>
      <c r="CN47" s="39"/>
      <c r="CO47" s="39"/>
      <c r="CP47" s="39"/>
      <c r="CQ47" s="39"/>
    </row>
    <row r="48" spans="1:161">
      <c r="A48" s="69" t="s">
        <v>1092</v>
      </c>
      <c r="B48" s="69" t="s">
        <v>1037</v>
      </c>
      <c r="C48" s="90" t="s">
        <v>1038</v>
      </c>
      <c r="D48" s="39"/>
      <c r="E48" s="39"/>
      <c r="BU48" s="149" t="s">
        <v>1740</v>
      </c>
      <c r="BV48" s="39"/>
      <c r="BW48" s="39"/>
      <c r="BX48" s="39"/>
      <c r="BY48" s="39"/>
      <c r="CM48" s="39" t="s">
        <v>1855</v>
      </c>
      <c r="CN48" s="39"/>
      <c r="CO48" s="39"/>
      <c r="CP48" s="39"/>
      <c r="CQ48" s="39"/>
    </row>
    <row r="49" spans="1:95">
      <c r="A49" s="69" t="s">
        <v>1093</v>
      </c>
      <c r="B49" s="69" t="s">
        <v>1037</v>
      </c>
      <c r="C49" s="90" t="s">
        <v>1038</v>
      </c>
      <c r="D49" s="39"/>
      <c r="E49" s="39"/>
      <c r="BU49" s="149" t="s">
        <v>1741</v>
      </c>
      <c r="BV49" s="39"/>
      <c r="BW49" s="39"/>
      <c r="BX49" s="39"/>
      <c r="BY49" s="39"/>
      <c r="CM49" s="39" t="s">
        <v>1856</v>
      </c>
      <c r="CN49" s="39"/>
      <c r="CO49" s="39"/>
      <c r="CP49" s="39"/>
      <c r="CQ49" s="39"/>
    </row>
    <row r="50" spans="1:95">
      <c r="A50" s="69" t="s">
        <v>1094</v>
      </c>
      <c r="B50" s="69" t="s">
        <v>1039</v>
      </c>
      <c r="C50" s="90" t="s">
        <v>1038</v>
      </c>
      <c r="D50" s="39"/>
      <c r="E50" s="39"/>
      <c r="BU50" s="149" t="s">
        <v>1742</v>
      </c>
      <c r="BV50" s="39"/>
      <c r="BW50" s="39"/>
      <c r="BX50" s="39"/>
      <c r="BY50" s="39"/>
      <c r="CM50" s="39" t="s">
        <v>1857</v>
      </c>
      <c r="CN50" s="39"/>
      <c r="CO50" s="39"/>
      <c r="CP50" s="39"/>
      <c r="CQ50" s="39"/>
    </row>
    <row r="51" spans="1:95">
      <c r="A51" s="69" t="s">
        <v>1095</v>
      </c>
      <c r="B51" s="69" t="s">
        <v>1037</v>
      </c>
      <c r="C51" s="90" t="s">
        <v>1038</v>
      </c>
      <c r="D51" s="39"/>
      <c r="E51" s="39"/>
      <c r="BU51" s="149" t="s">
        <v>1743</v>
      </c>
      <c r="BV51" s="39"/>
      <c r="BW51" s="39"/>
      <c r="BX51" s="39"/>
      <c r="BY51" s="39"/>
    </row>
    <row r="52" spans="1:95">
      <c r="A52" s="69" t="s">
        <v>1096</v>
      </c>
      <c r="B52" s="69" t="s">
        <v>1037</v>
      </c>
      <c r="C52" s="90" t="s">
        <v>1038</v>
      </c>
      <c r="D52" s="39"/>
      <c r="E52" s="39"/>
      <c r="BU52" s="149" t="s">
        <v>1744</v>
      </c>
      <c r="BV52" s="39"/>
      <c r="BW52" s="39"/>
      <c r="BX52" s="39"/>
      <c r="BY52" s="39"/>
    </row>
    <row r="53" spans="1:95">
      <c r="A53" s="69" t="s">
        <v>1097</v>
      </c>
      <c r="B53" s="69" t="s">
        <v>1037</v>
      </c>
      <c r="C53" s="90" t="s">
        <v>1038</v>
      </c>
      <c r="D53" s="39"/>
      <c r="E53" s="39"/>
      <c r="BU53" s="149" t="s">
        <v>1735</v>
      </c>
      <c r="BV53" s="39"/>
      <c r="BW53" s="39"/>
      <c r="BX53" s="39"/>
      <c r="BY53" s="39"/>
    </row>
    <row r="54" spans="1:95">
      <c r="A54" s="90" t="s">
        <v>1040</v>
      </c>
      <c r="B54" s="69" t="s">
        <v>1037</v>
      </c>
      <c r="C54" s="90" t="s">
        <v>1038</v>
      </c>
      <c r="D54" s="39"/>
      <c r="E54" s="39"/>
      <c r="BU54" s="149" t="s">
        <v>1745</v>
      </c>
      <c r="BV54" s="39"/>
      <c r="BW54" s="39"/>
      <c r="BX54" s="39"/>
      <c r="BY54" s="39"/>
    </row>
    <row r="55" spans="1:95">
      <c r="A55" s="69" t="s">
        <v>1098</v>
      </c>
      <c r="B55" s="69" t="s">
        <v>1037</v>
      </c>
      <c r="C55" s="90" t="s">
        <v>1038</v>
      </c>
      <c r="D55" s="39"/>
      <c r="E55" s="39"/>
      <c r="BU55" s="150" t="s">
        <v>1746</v>
      </c>
      <c r="BV55" s="39"/>
      <c r="BW55" s="39"/>
      <c r="BX55" s="39"/>
      <c r="BY55" s="39"/>
    </row>
    <row r="56" spans="1:95">
      <c r="A56" s="69" t="s">
        <v>1099</v>
      </c>
      <c r="B56" s="69" t="s">
        <v>1039</v>
      </c>
      <c r="C56" s="90" t="s">
        <v>1038</v>
      </c>
      <c r="D56" s="39"/>
      <c r="E56" s="39"/>
      <c r="BU56" s="150" t="s">
        <v>1747</v>
      </c>
      <c r="BV56" s="39"/>
      <c r="BW56" s="39"/>
      <c r="BX56" s="39"/>
      <c r="BY56" s="39"/>
    </row>
    <row r="57" spans="1:95">
      <c r="A57" s="69" t="s">
        <v>1100</v>
      </c>
      <c r="B57" s="69" t="s">
        <v>1039</v>
      </c>
      <c r="C57" s="90" t="s">
        <v>1038</v>
      </c>
      <c r="D57" s="39"/>
      <c r="E57" s="39"/>
      <c r="BU57" s="149" t="s">
        <v>1748</v>
      </c>
      <c r="BV57" s="39"/>
      <c r="BW57" s="39"/>
      <c r="BX57" s="39"/>
      <c r="BY57" s="39"/>
    </row>
    <row r="58" spans="1:95">
      <c r="A58" s="69" t="s">
        <v>1101</v>
      </c>
      <c r="B58" s="69" t="s">
        <v>1039</v>
      </c>
      <c r="C58" s="90" t="s">
        <v>1038</v>
      </c>
      <c r="D58" s="39"/>
      <c r="E58" s="39"/>
      <c r="BU58" s="149" t="s">
        <v>1749</v>
      </c>
      <c r="BV58" s="39"/>
      <c r="BW58" s="39"/>
      <c r="BX58" s="39"/>
      <c r="BY58" s="39"/>
    </row>
    <row r="59" spans="1:95">
      <c r="A59" s="69" t="s">
        <v>1102</v>
      </c>
      <c r="B59" s="69" t="s">
        <v>1037</v>
      </c>
      <c r="C59" s="90" t="s">
        <v>1038</v>
      </c>
      <c r="D59" s="39"/>
      <c r="E59" s="39"/>
      <c r="BU59" s="149" t="s">
        <v>1750</v>
      </c>
      <c r="BV59" s="39"/>
      <c r="BW59" s="39"/>
      <c r="BX59" s="39"/>
      <c r="BY59" s="39"/>
    </row>
    <row r="60" spans="1:95">
      <c r="A60" s="69" t="s">
        <v>1103</v>
      </c>
      <c r="B60" s="69" t="s">
        <v>1037</v>
      </c>
      <c r="C60" s="90" t="s">
        <v>1038</v>
      </c>
      <c r="D60" s="39"/>
      <c r="E60" s="39"/>
      <c r="BU60" s="149" t="s">
        <v>1751</v>
      </c>
      <c r="BV60" s="39"/>
      <c r="BW60" s="39"/>
      <c r="BX60" s="39"/>
      <c r="BY60" s="39"/>
    </row>
    <row r="61" spans="1:95">
      <c r="A61" s="69" t="s">
        <v>1104</v>
      </c>
      <c r="B61" s="69" t="s">
        <v>1039</v>
      </c>
      <c r="C61" s="90" t="s">
        <v>1038</v>
      </c>
      <c r="D61" s="39"/>
      <c r="E61" s="39"/>
      <c r="BU61" s="149" t="s">
        <v>1752</v>
      </c>
      <c r="BV61" s="39"/>
      <c r="BW61" s="39"/>
      <c r="BX61" s="39"/>
      <c r="BY61" s="39"/>
    </row>
    <row r="62" spans="1:95">
      <c r="A62" s="69" t="s">
        <v>1105</v>
      </c>
      <c r="B62" s="69" t="s">
        <v>1037</v>
      </c>
      <c r="C62" s="90" t="s">
        <v>1038</v>
      </c>
      <c r="D62" s="39"/>
      <c r="E62" s="39"/>
      <c r="BU62" s="149" t="s">
        <v>1753</v>
      </c>
      <c r="BV62" s="39"/>
      <c r="BW62" s="39"/>
      <c r="BX62" s="39"/>
      <c r="BY62" s="39"/>
    </row>
    <row r="63" spans="1:95">
      <c r="A63" s="69" t="s">
        <v>1106</v>
      </c>
      <c r="B63" s="69" t="s">
        <v>1037</v>
      </c>
      <c r="C63" s="90" t="s">
        <v>1038</v>
      </c>
      <c r="D63" s="39"/>
      <c r="E63" s="39"/>
      <c r="BU63" s="149" t="s">
        <v>1754</v>
      </c>
      <c r="BV63" s="39"/>
      <c r="BW63" s="39"/>
      <c r="BX63" s="39"/>
      <c r="BY63" s="39"/>
    </row>
    <row r="64" spans="1:95">
      <c r="A64" s="69" t="s">
        <v>1107</v>
      </c>
      <c r="B64" s="69" t="s">
        <v>1037</v>
      </c>
      <c r="C64" s="90" t="s">
        <v>1038</v>
      </c>
      <c r="D64" s="39"/>
      <c r="E64" s="39"/>
      <c r="BU64" s="149" t="s">
        <v>1755</v>
      </c>
      <c r="BV64" s="39"/>
      <c r="BW64" s="39"/>
      <c r="BX64" s="39"/>
      <c r="BY64" s="39"/>
    </row>
    <row r="65" spans="1:5">
      <c r="A65" s="69" t="s">
        <v>1108</v>
      </c>
      <c r="B65" s="69" t="s">
        <v>1037</v>
      </c>
      <c r="C65" s="90" t="s">
        <v>1038</v>
      </c>
      <c r="D65" s="39"/>
      <c r="E65" s="39"/>
    </row>
    <row r="66" spans="1:5">
      <c r="A66" s="69" t="s">
        <v>1109</v>
      </c>
      <c r="B66" s="69" t="s">
        <v>1037</v>
      </c>
      <c r="C66" s="90" t="s">
        <v>1038</v>
      </c>
      <c r="D66" s="39"/>
      <c r="E66" s="39"/>
    </row>
    <row r="67" spans="1:5">
      <c r="A67" s="69" t="s">
        <v>1110</v>
      </c>
      <c r="B67" s="69" t="s">
        <v>1039</v>
      </c>
      <c r="C67" s="90" t="s">
        <v>1038</v>
      </c>
      <c r="D67" s="39"/>
      <c r="E67" s="39"/>
    </row>
    <row r="68" spans="1:5">
      <c r="A68" s="69" t="s">
        <v>1111</v>
      </c>
      <c r="B68" s="69" t="s">
        <v>1039</v>
      </c>
      <c r="C68" s="90" t="s">
        <v>1038</v>
      </c>
      <c r="D68" s="39"/>
      <c r="E68" s="39"/>
    </row>
    <row r="69" spans="1:5">
      <c r="A69" s="69" t="s">
        <v>1112</v>
      </c>
      <c r="B69" s="69" t="s">
        <v>1039</v>
      </c>
      <c r="C69" s="90" t="s">
        <v>1038</v>
      </c>
      <c r="D69" s="39"/>
      <c r="E69" s="39"/>
    </row>
    <row r="70" spans="1:5">
      <c r="A70" s="69" t="s">
        <v>1113</v>
      </c>
      <c r="B70" s="69" t="s">
        <v>1037</v>
      </c>
      <c r="C70" s="90" t="s">
        <v>1038</v>
      </c>
      <c r="D70" s="39"/>
      <c r="E70" s="39"/>
    </row>
    <row r="71" spans="1:5">
      <c r="A71" s="69" t="s">
        <v>1114</v>
      </c>
      <c r="B71" s="69" t="s">
        <v>1039</v>
      </c>
      <c r="C71" s="90" t="s">
        <v>1038</v>
      </c>
      <c r="D71" s="39"/>
      <c r="E71" s="39"/>
    </row>
    <row r="72" spans="1:5">
      <c r="A72" s="69" t="s">
        <v>1115</v>
      </c>
      <c r="B72" s="69" t="s">
        <v>1039</v>
      </c>
      <c r="C72" s="90" t="s">
        <v>1038</v>
      </c>
      <c r="D72" s="39"/>
      <c r="E72" s="39"/>
    </row>
    <row r="73" spans="1:5">
      <c r="A73" s="69" t="s">
        <v>1116</v>
      </c>
      <c r="B73" s="69" t="s">
        <v>1041</v>
      </c>
      <c r="C73" s="90" t="s">
        <v>1038</v>
      </c>
      <c r="D73" s="39"/>
      <c r="E73" s="39"/>
    </row>
    <row r="74" spans="1:5">
      <c r="A74" s="69" t="s">
        <v>1117</v>
      </c>
      <c r="B74" s="69" t="s">
        <v>1041</v>
      </c>
      <c r="C74" s="90" t="s">
        <v>1038</v>
      </c>
      <c r="D74" s="39"/>
      <c r="E74" s="39"/>
    </row>
    <row r="75" spans="1:5">
      <c r="A75" s="69" t="s">
        <v>1118</v>
      </c>
      <c r="B75" s="69" t="s">
        <v>1037</v>
      </c>
      <c r="C75" s="90" t="s">
        <v>1038</v>
      </c>
      <c r="D75" s="39"/>
      <c r="E75" s="39"/>
    </row>
    <row r="76" spans="1:5">
      <c r="A76" s="69" t="s">
        <v>1119</v>
      </c>
      <c r="B76" s="69" t="s">
        <v>1039</v>
      </c>
      <c r="C76" s="90" t="s">
        <v>1038</v>
      </c>
      <c r="D76" s="39"/>
      <c r="E76" s="39"/>
    </row>
    <row r="77" spans="1:5">
      <c r="A77" s="69" t="s">
        <v>1120</v>
      </c>
      <c r="B77" s="69" t="s">
        <v>1039</v>
      </c>
      <c r="C77" s="90" t="s">
        <v>1038</v>
      </c>
      <c r="D77" s="39"/>
      <c r="E77" s="39"/>
    </row>
    <row r="78" spans="1:5">
      <c r="A78" s="69" t="s">
        <v>1121</v>
      </c>
      <c r="B78" s="69" t="s">
        <v>1037</v>
      </c>
      <c r="C78" s="90" t="s">
        <v>1038</v>
      </c>
      <c r="D78" s="39"/>
      <c r="E78" s="39"/>
    </row>
    <row r="79" spans="1:5">
      <c r="A79" s="69" t="s">
        <v>1122</v>
      </c>
      <c r="B79" s="69" t="s">
        <v>1042</v>
      </c>
      <c r="C79" s="90" t="s">
        <v>1038</v>
      </c>
      <c r="D79" s="39"/>
      <c r="E79" s="39"/>
    </row>
    <row r="80" spans="1:5">
      <c r="A80" s="69" t="s">
        <v>1123</v>
      </c>
      <c r="B80" s="69" t="s">
        <v>1037</v>
      </c>
      <c r="C80" s="90" t="s">
        <v>1038</v>
      </c>
      <c r="D80" s="39"/>
      <c r="E80" s="39"/>
    </row>
    <row r="81" spans="1:5">
      <c r="A81" s="69" t="s">
        <v>1124</v>
      </c>
      <c r="B81" s="69" t="s">
        <v>1037</v>
      </c>
      <c r="C81" s="90" t="s">
        <v>1038</v>
      </c>
      <c r="D81" s="39"/>
      <c r="E81" s="39"/>
    </row>
    <row r="82" spans="1:5">
      <c r="A82" s="69" t="s">
        <v>1125</v>
      </c>
      <c r="B82" s="69" t="s">
        <v>1037</v>
      </c>
      <c r="C82" s="90" t="s">
        <v>1038</v>
      </c>
      <c r="D82" s="39"/>
      <c r="E82" s="39"/>
    </row>
    <row r="83" spans="1:5">
      <c r="A83" s="69" t="s">
        <v>1126</v>
      </c>
      <c r="B83" s="69" t="s">
        <v>1042</v>
      </c>
      <c r="C83" s="90" t="s">
        <v>1038</v>
      </c>
      <c r="D83" s="39"/>
      <c r="E83" s="39"/>
    </row>
    <row r="84" spans="1:5">
      <c r="A84" s="69" t="s">
        <v>1127</v>
      </c>
      <c r="B84" s="69" t="s">
        <v>1039</v>
      </c>
      <c r="C84" s="90" t="s">
        <v>1038</v>
      </c>
      <c r="D84" s="39"/>
      <c r="E84" s="39"/>
    </row>
    <row r="85" spans="1:5">
      <c r="A85" s="90" t="s">
        <v>1043</v>
      </c>
      <c r="B85" s="69" t="s">
        <v>1039</v>
      </c>
      <c r="C85" s="90" t="s">
        <v>1038</v>
      </c>
      <c r="D85" s="39"/>
      <c r="E85" s="39"/>
    </row>
    <row r="86" spans="1:5">
      <c r="A86" s="69" t="s">
        <v>1128</v>
      </c>
      <c r="B86" s="69" t="s">
        <v>1041</v>
      </c>
      <c r="C86" s="90" t="s">
        <v>1038</v>
      </c>
      <c r="D86" s="39"/>
      <c r="E86" s="39"/>
    </row>
    <row r="87" spans="1:5">
      <c r="A87" s="69" t="s">
        <v>1129</v>
      </c>
      <c r="B87" s="69" t="s">
        <v>1037</v>
      </c>
      <c r="C87" s="90" t="s">
        <v>1038</v>
      </c>
      <c r="D87" s="39"/>
      <c r="E87" s="39"/>
    </row>
    <row r="88" spans="1:5">
      <c r="A88" s="69" t="s">
        <v>1130</v>
      </c>
      <c r="B88" s="69" t="s">
        <v>1037</v>
      </c>
      <c r="C88" s="90" t="s">
        <v>1038</v>
      </c>
      <c r="D88" s="39"/>
      <c r="E88" s="39"/>
    </row>
    <row r="89" spans="1:5">
      <c r="A89" s="69" t="s">
        <v>1131</v>
      </c>
      <c r="B89" s="69" t="s">
        <v>1037</v>
      </c>
      <c r="C89" s="90" t="s">
        <v>1038</v>
      </c>
      <c r="D89" s="39"/>
      <c r="E89" s="39"/>
    </row>
    <row r="90" spans="1:5">
      <c r="A90" s="69" t="s">
        <v>1132</v>
      </c>
      <c r="B90" s="69" t="s">
        <v>1039</v>
      </c>
      <c r="C90" s="90" t="s">
        <v>1038</v>
      </c>
      <c r="D90" s="39"/>
      <c r="E90" s="39"/>
    </row>
    <row r="91" spans="1:5">
      <c r="A91" s="69" t="s">
        <v>1133</v>
      </c>
      <c r="B91" s="69" t="s">
        <v>1039</v>
      </c>
      <c r="C91" s="90" t="s">
        <v>1038</v>
      </c>
      <c r="D91" s="39"/>
      <c r="E91" s="39"/>
    </row>
    <row r="92" spans="1:5">
      <c r="A92" s="69" t="s">
        <v>1134</v>
      </c>
      <c r="B92" s="69" t="s">
        <v>1039</v>
      </c>
      <c r="C92" s="90" t="s">
        <v>1038</v>
      </c>
      <c r="D92" s="39"/>
      <c r="E92" s="39"/>
    </row>
    <row r="93" spans="1:5">
      <c r="A93" s="69" t="s">
        <v>1135</v>
      </c>
      <c r="B93" s="69" t="s">
        <v>1039</v>
      </c>
      <c r="C93" s="90" t="s">
        <v>1038</v>
      </c>
      <c r="D93" s="39"/>
      <c r="E93" s="39"/>
    </row>
    <row r="94" spans="1:5">
      <c r="A94" s="69" t="s">
        <v>1136</v>
      </c>
      <c r="B94" s="69" t="s">
        <v>1037</v>
      </c>
      <c r="C94" s="90" t="s">
        <v>1038</v>
      </c>
      <c r="D94" s="39"/>
      <c r="E94" s="39"/>
    </row>
    <row r="95" spans="1:5">
      <c r="A95" s="69" t="s">
        <v>1137</v>
      </c>
      <c r="B95" s="69" t="s">
        <v>1037</v>
      </c>
      <c r="C95" s="90" t="s">
        <v>1038</v>
      </c>
      <c r="D95" s="39"/>
      <c r="E95" s="39"/>
    </row>
    <row r="96" spans="1:5">
      <c r="A96" s="69" t="s">
        <v>1138</v>
      </c>
      <c r="B96" s="69" t="s">
        <v>1037</v>
      </c>
      <c r="C96" s="90" t="s">
        <v>1038</v>
      </c>
      <c r="D96" s="39"/>
      <c r="E96" s="39"/>
    </row>
    <row r="97" spans="1:5">
      <c r="A97" s="69" t="s">
        <v>1139</v>
      </c>
      <c r="B97" s="69" t="s">
        <v>1037</v>
      </c>
      <c r="C97" s="90" t="s">
        <v>1038</v>
      </c>
      <c r="D97" s="39"/>
      <c r="E97" s="39"/>
    </row>
    <row r="98" spans="1:5">
      <c r="A98" s="69" t="s">
        <v>1140</v>
      </c>
      <c r="B98" s="69" t="s">
        <v>1039</v>
      </c>
      <c r="C98" s="90" t="s">
        <v>1038</v>
      </c>
      <c r="D98" s="39"/>
      <c r="E98" s="39"/>
    </row>
    <row r="99" spans="1:5">
      <c r="A99" s="69" t="s">
        <v>1141</v>
      </c>
      <c r="B99" s="69" t="s">
        <v>1039</v>
      </c>
      <c r="C99" s="90" t="s">
        <v>1038</v>
      </c>
      <c r="D99" s="39"/>
      <c r="E99" s="39"/>
    </row>
    <row r="100" spans="1:5">
      <c r="A100" s="69" t="s">
        <v>1142</v>
      </c>
      <c r="B100" s="69" t="s">
        <v>1037</v>
      </c>
      <c r="C100" s="90" t="s">
        <v>1038</v>
      </c>
      <c r="D100" s="39"/>
      <c r="E100" s="39"/>
    </row>
    <row r="101" spans="1:5">
      <c r="A101" s="69" t="s">
        <v>1143</v>
      </c>
      <c r="B101" s="69" t="s">
        <v>1037</v>
      </c>
      <c r="C101" s="90" t="s">
        <v>1038</v>
      </c>
      <c r="D101" s="39"/>
      <c r="E101" s="39"/>
    </row>
    <row r="102" spans="1:5">
      <c r="A102" s="69" t="s">
        <v>1144</v>
      </c>
      <c r="B102" s="69" t="s">
        <v>1039</v>
      </c>
      <c r="C102" s="90" t="s">
        <v>1038</v>
      </c>
      <c r="D102" s="39"/>
      <c r="E102" s="39"/>
    </row>
    <row r="103" spans="1:5">
      <c r="A103" s="69" t="s">
        <v>1145</v>
      </c>
      <c r="B103" s="69" t="s">
        <v>1041</v>
      </c>
      <c r="C103" s="90" t="s">
        <v>1038</v>
      </c>
      <c r="D103" s="39"/>
      <c r="E103" s="39"/>
    </row>
    <row r="104" spans="1:5">
      <c r="A104" s="69" t="s">
        <v>1146</v>
      </c>
      <c r="B104" s="69" t="s">
        <v>1037</v>
      </c>
      <c r="C104" s="90" t="s">
        <v>1038</v>
      </c>
      <c r="D104" s="39"/>
      <c r="E104" s="39"/>
    </row>
    <row r="105" spans="1:5">
      <c r="A105" s="69" t="s">
        <v>1147</v>
      </c>
      <c r="B105" s="69" t="s">
        <v>1037</v>
      </c>
      <c r="C105" s="90" t="s">
        <v>1038</v>
      </c>
      <c r="D105" s="39"/>
      <c r="E105" s="39"/>
    </row>
    <row r="106" spans="1:5">
      <c r="A106" s="69" t="s">
        <v>1148</v>
      </c>
      <c r="B106" s="69" t="s">
        <v>1039</v>
      </c>
      <c r="C106" s="90" t="s">
        <v>1038</v>
      </c>
      <c r="D106" s="39"/>
      <c r="E106" s="39"/>
    </row>
    <row r="107" spans="1:5">
      <c r="A107" s="69" t="s">
        <v>1149</v>
      </c>
      <c r="B107" s="69" t="s">
        <v>1042</v>
      </c>
      <c r="C107" s="90" t="s">
        <v>1038</v>
      </c>
      <c r="D107" s="39"/>
      <c r="E107" s="39"/>
    </row>
    <row r="108" spans="1:5">
      <c r="A108" s="69" t="s">
        <v>1150</v>
      </c>
      <c r="B108" s="69" t="s">
        <v>1039</v>
      </c>
      <c r="C108" s="90" t="s">
        <v>1038</v>
      </c>
      <c r="D108" s="39"/>
      <c r="E108" s="39"/>
    </row>
    <row r="109" spans="1:5">
      <c r="A109" s="69" t="s">
        <v>1151</v>
      </c>
      <c r="B109" s="69" t="s">
        <v>1037</v>
      </c>
      <c r="C109" s="90" t="s">
        <v>1038</v>
      </c>
      <c r="D109" s="39"/>
      <c r="E109" s="39"/>
    </row>
    <row r="110" spans="1:5">
      <c r="A110" s="69" t="s">
        <v>1152</v>
      </c>
      <c r="B110" s="69" t="s">
        <v>1039</v>
      </c>
      <c r="C110" s="90" t="s">
        <v>1038</v>
      </c>
      <c r="D110" s="39"/>
      <c r="E110" s="39"/>
    </row>
    <row r="111" spans="1:5">
      <c r="A111" s="69" t="s">
        <v>1153</v>
      </c>
      <c r="B111" s="69" t="s">
        <v>1042</v>
      </c>
      <c r="C111" s="90" t="s">
        <v>1038</v>
      </c>
      <c r="D111" s="39"/>
      <c r="E111" s="39"/>
    </row>
    <row r="112" spans="1:5">
      <c r="A112" s="69" t="s">
        <v>1154</v>
      </c>
      <c r="B112" s="69" t="s">
        <v>1037</v>
      </c>
      <c r="C112" s="90" t="s">
        <v>1038</v>
      </c>
      <c r="D112" s="39"/>
      <c r="E112" s="39"/>
    </row>
    <row r="113" spans="1:5">
      <c r="A113" s="90" t="s">
        <v>1044</v>
      </c>
      <c r="B113" s="69" t="s">
        <v>1039</v>
      </c>
      <c r="C113" s="90" t="s">
        <v>1038</v>
      </c>
      <c r="D113" s="39"/>
      <c r="E113" s="39"/>
    </row>
    <row r="114" spans="1:5">
      <c r="A114" s="69" t="s">
        <v>1155</v>
      </c>
      <c r="B114" s="69" t="s">
        <v>1037</v>
      </c>
      <c r="C114" s="90" t="s">
        <v>1038</v>
      </c>
      <c r="D114" s="39"/>
      <c r="E114" s="39"/>
    </row>
    <row r="115" spans="1:5">
      <c r="A115" s="69" t="s">
        <v>1156</v>
      </c>
      <c r="B115" s="69" t="s">
        <v>1037</v>
      </c>
      <c r="C115" s="90" t="s">
        <v>1038</v>
      </c>
      <c r="D115" s="39"/>
      <c r="E115" s="39"/>
    </row>
    <row r="116" spans="1:5">
      <c r="A116" s="69" t="s">
        <v>1157</v>
      </c>
      <c r="B116" s="69" t="s">
        <v>1041</v>
      </c>
      <c r="C116" s="90" t="s">
        <v>1038</v>
      </c>
      <c r="D116" s="39"/>
      <c r="E116" s="39"/>
    </row>
    <row r="117" spans="1:5">
      <c r="A117" s="69" t="s">
        <v>1158</v>
      </c>
      <c r="B117" s="69" t="s">
        <v>1037</v>
      </c>
      <c r="C117" s="90" t="s">
        <v>1038</v>
      </c>
      <c r="D117" s="39"/>
      <c r="E117" s="39"/>
    </row>
    <row r="118" spans="1:5">
      <c r="A118" s="69" t="s">
        <v>1159</v>
      </c>
      <c r="B118" s="69" t="s">
        <v>1037</v>
      </c>
      <c r="C118" s="90" t="s">
        <v>1038</v>
      </c>
      <c r="D118" s="39"/>
      <c r="E118" s="39"/>
    </row>
    <row r="119" spans="1:5">
      <c r="A119" s="69" t="s">
        <v>1160</v>
      </c>
      <c r="B119" s="69" t="s">
        <v>1037</v>
      </c>
      <c r="C119" s="90" t="s">
        <v>1038</v>
      </c>
      <c r="D119" s="39"/>
      <c r="E119" s="39"/>
    </row>
    <row r="120" spans="1:5">
      <c r="A120" s="69" t="s">
        <v>1161</v>
      </c>
      <c r="B120" s="69" t="s">
        <v>1039</v>
      </c>
      <c r="C120" s="90" t="s">
        <v>1038</v>
      </c>
      <c r="D120" s="39"/>
      <c r="E120" s="39"/>
    </row>
    <row r="121" spans="1:5">
      <c r="A121" s="69" t="s">
        <v>1162</v>
      </c>
      <c r="B121" s="69" t="s">
        <v>1037</v>
      </c>
      <c r="C121" s="90" t="s">
        <v>1038</v>
      </c>
      <c r="D121" s="39"/>
      <c r="E121" s="39"/>
    </row>
    <row r="122" spans="1:5">
      <c r="A122" s="69" t="s">
        <v>1163</v>
      </c>
      <c r="B122" s="69" t="s">
        <v>1039</v>
      </c>
      <c r="C122" s="90" t="s">
        <v>1038</v>
      </c>
      <c r="D122" s="39"/>
      <c r="E122" s="39"/>
    </row>
    <row r="123" spans="1:5">
      <c r="A123" s="69" t="s">
        <v>1164</v>
      </c>
      <c r="B123" s="69" t="s">
        <v>1039</v>
      </c>
      <c r="C123" s="90" t="s">
        <v>1038</v>
      </c>
      <c r="D123" s="39"/>
      <c r="E123" s="39"/>
    </row>
    <row r="124" spans="1:5">
      <c r="A124" s="69" t="s">
        <v>1165</v>
      </c>
      <c r="B124" s="69" t="s">
        <v>1039</v>
      </c>
      <c r="C124" s="90" t="s">
        <v>1038</v>
      </c>
      <c r="D124" s="39"/>
      <c r="E124" s="39"/>
    </row>
    <row r="125" spans="1:5">
      <c r="A125" s="69" t="s">
        <v>1166</v>
      </c>
      <c r="B125" s="69" t="s">
        <v>1037</v>
      </c>
      <c r="C125" s="90" t="s">
        <v>1038</v>
      </c>
      <c r="D125" s="39"/>
      <c r="E125" s="39"/>
    </row>
    <row r="126" spans="1:5">
      <c r="A126" s="69" t="s">
        <v>1167</v>
      </c>
      <c r="B126" s="69" t="s">
        <v>1037</v>
      </c>
      <c r="C126" s="90" t="s">
        <v>1038</v>
      </c>
      <c r="D126" s="39"/>
      <c r="E126" s="39"/>
    </row>
    <row r="127" spans="1:5">
      <c r="A127" s="69" t="s">
        <v>1168</v>
      </c>
      <c r="B127" s="69" t="s">
        <v>1037</v>
      </c>
      <c r="C127" s="90" t="s">
        <v>1038</v>
      </c>
      <c r="D127" s="39"/>
      <c r="E127" s="39"/>
    </row>
    <row r="128" spans="1:5">
      <c r="A128" s="69" t="s">
        <v>1169</v>
      </c>
      <c r="B128" s="69" t="s">
        <v>1037</v>
      </c>
      <c r="C128" s="90" t="s">
        <v>1038</v>
      </c>
      <c r="D128" s="39"/>
      <c r="E128" s="39"/>
    </row>
    <row r="129" spans="1:5">
      <c r="A129" s="69" t="s">
        <v>1170</v>
      </c>
      <c r="B129" s="69" t="s">
        <v>1039</v>
      </c>
      <c r="C129" s="90" t="s">
        <v>1038</v>
      </c>
      <c r="D129" s="39"/>
      <c r="E129" s="39"/>
    </row>
    <row r="130" spans="1:5">
      <c r="A130" s="69" t="s">
        <v>1171</v>
      </c>
      <c r="B130" s="69" t="s">
        <v>1039</v>
      </c>
      <c r="C130" s="90" t="s">
        <v>1038</v>
      </c>
      <c r="D130" s="39"/>
      <c r="E130" s="39"/>
    </row>
    <row r="131" spans="1:5">
      <c r="A131" s="69" t="s">
        <v>1172</v>
      </c>
      <c r="B131" s="69" t="s">
        <v>1039</v>
      </c>
      <c r="C131" s="90" t="s">
        <v>1038</v>
      </c>
      <c r="D131" s="39"/>
      <c r="E131" s="39"/>
    </row>
    <row r="132" spans="1:5">
      <c r="A132" s="69" t="s">
        <v>1173</v>
      </c>
      <c r="B132" s="69" t="s">
        <v>1037</v>
      </c>
      <c r="C132" s="90" t="s">
        <v>1038</v>
      </c>
      <c r="D132" s="39"/>
      <c r="E132" s="39"/>
    </row>
    <row r="133" spans="1:5">
      <c r="A133" s="69" t="s">
        <v>1174</v>
      </c>
      <c r="B133" s="69" t="s">
        <v>1039</v>
      </c>
      <c r="C133" s="90" t="s">
        <v>1038</v>
      </c>
      <c r="D133" s="39"/>
      <c r="E133" s="39"/>
    </row>
    <row r="134" spans="1:5">
      <c r="A134" s="69" t="s">
        <v>1175</v>
      </c>
      <c r="B134" s="69" t="s">
        <v>1039</v>
      </c>
      <c r="C134" s="90" t="s">
        <v>1038</v>
      </c>
      <c r="D134" s="39"/>
      <c r="E134" s="39"/>
    </row>
    <row r="135" spans="1:5">
      <c r="A135" s="69" t="s">
        <v>1176</v>
      </c>
      <c r="B135" s="69" t="s">
        <v>1037</v>
      </c>
      <c r="C135" s="90" t="s">
        <v>1038</v>
      </c>
      <c r="D135" s="39"/>
      <c r="E135" s="39"/>
    </row>
    <row r="136" spans="1:5">
      <c r="A136" s="69" t="s">
        <v>1177</v>
      </c>
      <c r="B136" s="69" t="s">
        <v>1037</v>
      </c>
      <c r="C136" s="90" t="s">
        <v>1038</v>
      </c>
      <c r="D136" s="39"/>
      <c r="E136" s="39"/>
    </row>
    <row r="137" spans="1:5">
      <c r="A137" s="69" t="s">
        <v>1178</v>
      </c>
      <c r="B137" s="69" t="s">
        <v>1037</v>
      </c>
      <c r="C137" s="90" t="s">
        <v>1038</v>
      </c>
      <c r="D137" s="39"/>
      <c r="E137" s="39"/>
    </row>
    <row r="138" spans="1:5">
      <c r="A138" s="69" t="s">
        <v>1179</v>
      </c>
      <c r="B138" s="69" t="s">
        <v>1039</v>
      </c>
      <c r="C138" s="90" t="s">
        <v>1038</v>
      </c>
      <c r="D138" s="39"/>
      <c r="E138" s="39"/>
    </row>
    <row r="139" spans="1:5">
      <c r="A139" s="69" t="s">
        <v>1180</v>
      </c>
      <c r="B139" s="69" t="s">
        <v>1037</v>
      </c>
      <c r="C139" s="90" t="s">
        <v>1038</v>
      </c>
      <c r="D139" s="39"/>
      <c r="E139" s="39"/>
    </row>
    <row r="140" spans="1:5">
      <c r="A140" s="69" t="s">
        <v>1181</v>
      </c>
      <c r="B140" s="69" t="s">
        <v>1037</v>
      </c>
      <c r="C140" s="90" t="s">
        <v>1038</v>
      </c>
      <c r="D140" s="39"/>
      <c r="E140" s="39"/>
    </row>
    <row r="141" spans="1:5">
      <c r="A141" s="69" t="s">
        <v>1182</v>
      </c>
      <c r="B141" s="69" t="s">
        <v>1041</v>
      </c>
      <c r="C141" s="90" t="s">
        <v>1038</v>
      </c>
      <c r="D141" s="39"/>
      <c r="E141" s="39"/>
    </row>
    <row r="142" spans="1:5">
      <c r="A142" s="69" t="s">
        <v>1183</v>
      </c>
      <c r="B142" s="69" t="s">
        <v>1039</v>
      </c>
      <c r="C142" s="90" t="s">
        <v>1038</v>
      </c>
      <c r="D142" s="39"/>
      <c r="E142" s="39"/>
    </row>
    <row r="143" spans="1:5">
      <c r="A143" s="69" t="s">
        <v>1184</v>
      </c>
      <c r="B143" s="69" t="s">
        <v>1037</v>
      </c>
      <c r="C143" s="90" t="s">
        <v>1038</v>
      </c>
      <c r="D143" s="39"/>
      <c r="E143" s="39"/>
    </row>
    <row r="144" spans="1:5">
      <c r="A144" s="69" t="s">
        <v>1185</v>
      </c>
      <c r="B144" s="69" t="s">
        <v>1039</v>
      </c>
      <c r="C144" s="90" t="s">
        <v>1038</v>
      </c>
      <c r="D144" s="39"/>
      <c r="E144" s="39"/>
    </row>
    <row r="145" spans="1:5">
      <c r="A145" s="69" t="s">
        <v>1186</v>
      </c>
      <c r="B145" s="69" t="s">
        <v>1041</v>
      </c>
      <c r="C145" s="90" t="s">
        <v>1038</v>
      </c>
      <c r="D145" s="39"/>
      <c r="E145" s="39"/>
    </row>
    <row r="146" spans="1:5">
      <c r="A146" s="69" t="s">
        <v>1187</v>
      </c>
      <c r="B146" s="69" t="s">
        <v>1039</v>
      </c>
      <c r="C146" s="90" t="s">
        <v>1038</v>
      </c>
      <c r="D146" s="39"/>
      <c r="E146" s="39"/>
    </row>
    <row r="147" spans="1:5">
      <c r="A147" s="69" t="s">
        <v>1188</v>
      </c>
      <c r="B147" s="69" t="s">
        <v>1037</v>
      </c>
      <c r="C147" s="90" t="s">
        <v>1038</v>
      </c>
      <c r="D147" s="39"/>
      <c r="E147" s="39"/>
    </row>
    <row r="148" spans="1:5">
      <c r="A148" s="69" t="s">
        <v>1189</v>
      </c>
      <c r="B148" s="69" t="s">
        <v>1037</v>
      </c>
      <c r="C148" s="90" t="s">
        <v>1038</v>
      </c>
      <c r="D148" s="39"/>
      <c r="E148" s="39"/>
    </row>
    <row r="149" spans="1:5">
      <c r="A149" s="69" t="s">
        <v>1190</v>
      </c>
      <c r="B149" s="69" t="s">
        <v>1037</v>
      </c>
      <c r="C149" s="90" t="s">
        <v>1038</v>
      </c>
      <c r="D149" s="39"/>
      <c r="E149" s="39"/>
    </row>
    <row r="150" spans="1:5">
      <c r="A150" s="69" t="s">
        <v>1191</v>
      </c>
      <c r="B150" s="69" t="s">
        <v>1037</v>
      </c>
      <c r="C150" s="90" t="s">
        <v>1038</v>
      </c>
      <c r="D150" s="39"/>
      <c r="E150" s="39"/>
    </row>
    <row r="151" spans="1:5">
      <c r="A151" s="69" t="s">
        <v>1192</v>
      </c>
      <c r="B151" s="69" t="s">
        <v>1037</v>
      </c>
      <c r="C151" s="90" t="s">
        <v>1038</v>
      </c>
      <c r="D151" s="39"/>
      <c r="E151" s="39"/>
    </row>
    <row r="152" spans="1:5">
      <c r="A152" s="69" t="s">
        <v>1193</v>
      </c>
      <c r="B152" s="69" t="s">
        <v>1039</v>
      </c>
      <c r="C152" s="90" t="s">
        <v>1038</v>
      </c>
      <c r="D152" s="39"/>
      <c r="E152" s="39"/>
    </row>
    <row r="153" spans="1:5">
      <c r="A153" s="69" t="s">
        <v>1194</v>
      </c>
      <c r="B153" s="69" t="s">
        <v>1037</v>
      </c>
      <c r="C153" s="90" t="s">
        <v>1038</v>
      </c>
      <c r="D153" s="39"/>
      <c r="E153" s="39"/>
    </row>
    <row r="154" spans="1:5">
      <c r="A154" s="69" t="s">
        <v>1195</v>
      </c>
      <c r="B154" s="69" t="s">
        <v>1037</v>
      </c>
      <c r="C154" s="90" t="s">
        <v>1038</v>
      </c>
      <c r="D154" s="39"/>
      <c r="E154" s="39"/>
    </row>
    <row r="155" spans="1:5">
      <c r="A155" s="69" t="s">
        <v>1196</v>
      </c>
      <c r="B155" s="69" t="s">
        <v>1039</v>
      </c>
      <c r="C155" s="90" t="s">
        <v>1038</v>
      </c>
      <c r="D155" s="39"/>
      <c r="E155" s="39"/>
    </row>
    <row r="156" spans="1:5">
      <c r="A156" s="69" t="s">
        <v>1197</v>
      </c>
      <c r="B156" s="69" t="s">
        <v>1037</v>
      </c>
      <c r="C156" s="90" t="s">
        <v>1038</v>
      </c>
      <c r="D156" s="39"/>
      <c r="E156" s="39"/>
    </row>
    <row r="157" spans="1:5">
      <c r="A157" s="69" t="s">
        <v>1198</v>
      </c>
      <c r="B157" s="69" t="s">
        <v>1037</v>
      </c>
      <c r="C157" s="90" t="s">
        <v>1038</v>
      </c>
      <c r="D157" s="39"/>
      <c r="E157" s="39"/>
    </row>
    <row r="158" spans="1:5">
      <c r="A158" s="69" t="s">
        <v>1199</v>
      </c>
      <c r="B158" s="69" t="s">
        <v>1037</v>
      </c>
      <c r="C158" s="90" t="s">
        <v>1038</v>
      </c>
      <c r="D158" s="39"/>
      <c r="E158" s="39"/>
    </row>
    <row r="159" spans="1:5">
      <c r="A159" s="69" t="s">
        <v>1200</v>
      </c>
      <c r="B159" s="69" t="s">
        <v>1037</v>
      </c>
      <c r="C159" s="90" t="s">
        <v>1038</v>
      </c>
      <c r="D159" s="39"/>
      <c r="E159" s="39"/>
    </row>
    <row r="160" spans="1:5">
      <c r="A160" s="69" t="s">
        <v>1201</v>
      </c>
      <c r="B160" s="69" t="s">
        <v>1037</v>
      </c>
      <c r="C160" s="90" t="s">
        <v>1038</v>
      </c>
      <c r="D160" s="39"/>
      <c r="E160" s="39"/>
    </row>
    <row r="161" spans="1:5">
      <c r="A161" s="69" t="s">
        <v>1202</v>
      </c>
      <c r="B161" s="69" t="s">
        <v>1037</v>
      </c>
      <c r="C161" s="90" t="s">
        <v>1038</v>
      </c>
      <c r="D161" s="39"/>
      <c r="E161" s="39"/>
    </row>
    <row r="162" spans="1:5">
      <c r="A162" s="69" t="s">
        <v>1203</v>
      </c>
      <c r="B162" s="69" t="s">
        <v>1039</v>
      </c>
      <c r="C162" s="90" t="s">
        <v>1038</v>
      </c>
      <c r="D162" s="39"/>
      <c r="E162" s="39"/>
    </row>
    <row r="163" spans="1:5">
      <c r="A163" s="69" t="s">
        <v>1204</v>
      </c>
      <c r="B163" s="69" t="s">
        <v>1037</v>
      </c>
      <c r="C163" s="90" t="s">
        <v>1038</v>
      </c>
      <c r="D163" s="39"/>
      <c r="E163" s="39"/>
    </row>
    <row r="164" spans="1:5">
      <c r="A164" s="69" t="s">
        <v>1205</v>
      </c>
      <c r="B164" s="69" t="s">
        <v>1037</v>
      </c>
      <c r="C164" s="90" t="s">
        <v>1038</v>
      </c>
      <c r="D164" s="39"/>
      <c r="E164" s="39"/>
    </row>
    <row r="165" spans="1:5">
      <c r="A165" s="69" t="s">
        <v>1206</v>
      </c>
      <c r="B165" s="69" t="s">
        <v>1037</v>
      </c>
      <c r="C165" s="90" t="s">
        <v>1038</v>
      </c>
      <c r="D165" s="39"/>
      <c r="E165" s="39"/>
    </row>
    <row r="166" spans="1:5">
      <c r="A166" s="69" t="s">
        <v>1207</v>
      </c>
      <c r="B166" s="69" t="s">
        <v>1037</v>
      </c>
      <c r="C166" s="90" t="s">
        <v>1038</v>
      </c>
      <c r="D166" s="39"/>
      <c r="E166" s="39"/>
    </row>
    <row r="167" spans="1:5">
      <c r="A167" s="69" t="s">
        <v>1208</v>
      </c>
      <c r="B167" s="69" t="s">
        <v>1039</v>
      </c>
      <c r="C167" s="90" t="s">
        <v>1038</v>
      </c>
      <c r="D167" s="39"/>
      <c r="E167" s="39"/>
    </row>
    <row r="168" spans="1:5">
      <c r="A168" s="69" t="s">
        <v>1209</v>
      </c>
      <c r="B168" s="69" t="s">
        <v>1039</v>
      </c>
      <c r="C168" s="90" t="s">
        <v>1038</v>
      </c>
      <c r="D168" s="39"/>
      <c r="E168" s="39"/>
    </row>
    <row r="169" spans="1:5">
      <c r="A169" s="69" t="s">
        <v>1210</v>
      </c>
      <c r="B169" s="69" t="s">
        <v>1039</v>
      </c>
      <c r="C169" s="90" t="s">
        <v>1038</v>
      </c>
      <c r="D169" s="39"/>
      <c r="E169" s="39"/>
    </row>
    <row r="170" spans="1:5">
      <c r="A170" s="69" t="s">
        <v>1211</v>
      </c>
      <c r="B170" s="69" t="s">
        <v>1037</v>
      </c>
      <c r="C170" s="90" t="s">
        <v>1038</v>
      </c>
      <c r="D170" s="39"/>
      <c r="E170" s="39"/>
    </row>
    <row r="171" spans="1:5">
      <c r="A171" s="69" t="s">
        <v>1212</v>
      </c>
      <c r="B171" s="69" t="s">
        <v>1042</v>
      </c>
      <c r="C171" s="90" t="s">
        <v>1038</v>
      </c>
      <c r="D171" s="39"/>
      <c r="E171" s="39"/>
    </row>
    <row r="172" spans="1:5">
      <c r="A172" s="69" t="s">
        <v>1213</v>
      </c>
      <c r="B172" s="69" t="s">
        <v>1037</v>
      </c>
      <c r="C172" s="90" t="s">
        <v>1038</v>
      </c>
      <c r="D172" s="39"/>
      <c r="E172" s="39"/>
    </row>
    <row r="173" spans="1:5">
      <c r="A173" s="69" t="s">
        <v>1214</v>
      </c>
      <c r="B173" s="69" t="s">
        <v>1037</v>
      </c>
      <c r="C173" s="90" t="s">
        <v>1038</v>
      </c>
      <c r="D173" s="39"/>
      <c r="E173" s="39"/>
    </row>
    <row r="174" spans="1:5">
      <c r="A174" s="69" t="s">
        <v>1215</v>
      </c>
      <c r="B174" s="69" t="s">
        <v>1039</v>
      </c>
      <c r="C174" s="90" t="s">
        <v>1038</v>
      </c>
      <c r="D174" s="39"/>
      <c r="E174" s="39"/>
    </row>
    <row r="175" spans="1:5">
      <c r="A175" s="69" t="s">
        <v>1216</v>
      </c>
      <c r="B175" s="69" t="s">
        <v>1037</v>
      </c>
      <c r="C175" s="90" t="s">
        <v>1038</v>
      </c>
      <c r="D175" s="39"/>
      <c r="E175" s="39"/>
    </row>
    <row r="176" spans="1:5">
      <c r="A176" s="69" t="s">
        <v>1217</v>
      </c>
      <c r="B176" s="69" t="s">
        <v>1041</v>
      </c>
      <c r="C176" s="90" t="s">
        <v>1038</v>
      </c>
      <c r="D176" s="39"/>
      <c r="E176" s="39"/>
    </row>
    <row r="177" spans="1:5">
      <c r="A177" s="69" t="s">
        <v>1218</v>
      </c>
      <c r="B177" s="69" t="s">
        <v>1037</v>
      </c>
      <c r="C177" s="90" t="s">
        <v>1038</v>
      </c>
      <c r="D177" s="39"/>
      <c r="E177" s="39"/>
    </row>
    <row r="178" spans="1:5">
      <c r="A178" s="69" t="s">
        <v>1219</v>
      </c>
      <c r="B178" s="69" t="s">
        <v>1037</v>
      </c>
      <c r="C178" s="90" t="s">
        <v>1038</v>
      </c>
      <c r="D178" s="39"/>
      <c r="E178" s="39"/>
    </row>
    <row r="179" spans="1:5">
      <c r="A179" s="69" t="s">
        <v>1220</v>
      </c>
      <c r="B179" s="69" t="s">
        <v>1037</v>
      </c>
      <c r="C179" s="90" t="s">
        <v>1038</v>
      </c>
      <c r="D179" s="39"/>
      <c r="E179" s="39"/>
    </row>
    <row r="180" spans="1:5">
      <c r="A180" s="69" t="s">
        <v>1221</v>
      </c>
      <c r="B180" s="69" t="s">
        <v>1037</v>
      </c>
      <c r="C180" s="90" t="s">
        <v>1038</v>
      </c>
      <c r="D180" s="39"/>
      <c r="E180" s="39"/>
    </row>
    <row r="181" spans="1:5">
      <c r="A181" s="69" t="s">
        <v>1222</v>
      </c>
      <c r="B181" s="69" t="s">
        <v>1039</v>
      </c>
      <c r="C181" s="90" t="s">
        <v>1038</v>
      </c>
      <c r="D181" s="39"/>
      <c r="E181" s="39"/>
    </row>
    <row r="182" spans="1:5">
      <c r="A182" s="69" t="s">
        <v>1223</v>
      </c>
      <c r="B182" s="69" t="s">
        <v>1041</v>
      </c>
      <c r="C182" s="90" t="s">
        <v>1038</v>
      </c>
      <c r="D182" s="39"/>
      <c r="E182" s="39"/>
    </row>
    <row r="183" spans="1:5">
      <c r="A183" s="69" t="s">
        <v>1224</v>
      </c>
      <c r="B183" s="69" t="s">
        <v>1037</v>
      </c>
      <c r="C183" s="90" t="s">
        <v>1038</v>
      </c>
      <c r="D183" s="39"/>
      <c r="E183" s="39"/>
    </row>
    <row r="184" spans="1:5">
      <c r="A184" s="90" t="s">
        <v>1045</v>
      </c>
      <c r="B184" s="69" t="s">
        <v>1039</v>
      </c>
      <c r="C184" s="90" t="s">
        <v>1038</v>
      </c>
      <c r="D184" s="39"/>
      <c r="E184" s="39"/>
    </row>
    <row r="185" spans="1:5">
      <c r="A185" s="69" t="s">
        <v>1225</v>
      </c>
      <c r="B185" s="69" t="s">
        <v>1037</v>
      </c>
      <c r="C185" s="90" t="s">
        <v>1038</v>
      </c>
      <c r="D185" s="39"/>
      <c r="E185" s="39"/>
    </row>
    <row r="186" spans="1:5">
      <c r="A186" s="69" t="s">
        <v>1226</v>
      </c>
      <c r="B186" s="69" t="s">
        <v>1037</v>
      </c>
      <c r="C186" s="90" t="s">
        <v>1038</v>
      </c>
      <c r="D186" s="39"/>
      <c r="E186" s="39"/>
    </row>
    <row r="187" spans="1:5">
      <c r="A187" s="69" t="s">
        <v>1227</v>
      </c>
      <c r="B187" s="69" t="s">
        <v>1037</v>
      </c>
      <c r="C187" s="90" t="s">
        <v>1038</v>
      </c>
      <c r="D187" s="39"/>
      <c r="E187" s="39"/>
    </row>
    <row r="188" spans="1:5">
      <c r="A188" s="69" t="s">
        <v>1228</v>
      </c>
      <c r="B188" s="69" t="s">
        <v>1037</v>
      </c>
      <c r="C188" s="90" t="s">
        <v>1038</v>
      </c>
      <c r="D188" s="39"/>
      <c r="E188" s="39"/>
    </row>
    <row r="189" spans="1:5">
      <c r="A189" s="69" t="s">
        <v>1229</v>
      </c>
      <c r="B189" s="69" t="s">
        <v>1037</v>
      </c>
      <c r="C189" s="90" t="s">
        <v>1038</v>
      </c>
      <c r="D189" s="39"/>
      <c r="E189" s="39"/>
    </row>
    <row r="190" spans="1:5">
      <c r="A190" s="69" t="s">
        <v>1230</v>
      </c>
      <c r="B190" s="69" t="s">
        <v>1037</v>
      </c>
      <c r="C190" s="90" t="s">
        <v>1038</v>
      </c>
      <c r="D190" s="39"/>
      <c r="E190" s="39"/>
    </row>
    <row r="191" spans="1:5">
      <c r="A191" s="69" t="s">
        <v>1231</v>
      </c>
      <c r="B191" s="69" t="s">
        <v>1039</v>
      </c>
      <c r="C191" s="90" t="s">
        <v>1038</v>
      </c>
      <c r="D191" s="39"/>
      <c r="E191" s="39"/>
    </row>
    <row r="192" spans="1:5">
      <c r="A192" s="69" t="s">
        <v>1232</v>
      </c>
      <c r="B192" s="69" t="s">
        <v>1039</v>
      </c>
      <c r="C192" s="90" t="s">
        <v>1038</v>
      </c>
      <c r="D192" s="39"/>
      <c r="E192" s="39"/>
    </row>
    <row r="193" spans="1:5">
      <c r="A193" s="69" t="s">
        <v>1233</v>
      </c>
      <c r="B193" s="69" t="s">
        <v>1037</v>
      </c>
      <c r="C193" s="90" t="s">
        <v>1038</v>
      </c>
      <c r="D193" s="39"/>
      <c r="E193" s="39"/>
    </row>
    <row r="194" spans="1:5">
      <c r="A194" s="69" t="s">
        <v>1234</v>
      </c>
      <c r="B194" s="69" t="s">
        <v>1037</v>
      </c>
      <c r="C194" s="90" t="s">
        <v>1038</v>
      </c>
      <c r="D194" s="39"/>
      <c r="E194" s="39"/>
    </row>
    <row r="195" spans="1:5">
      <c r="A195" s="69" t="s">
        <v>1235</v>
      </c>
      <c r="B195" s="69" t="s">
        <v>1039</v>
      </c>
      <c r="C195" s="90" t="s">
        <v>1038</v>
      </c>
      <c r="D195" s="39"/>
      <c r="E195" s="39"/>
    </row>
    <row r="196" spans="1:5">
      <c r="A196" s="69" t="s">
        <v>1236</v>
      </c>
      <c r="B196" s="69" t="s">
        <v>1037</v>
      </c>
      <c r="C196" s="90" t="s">
        <v>1038</v>
      </c>
      <c r="D196" s="39"/>
      <c r="E196" s="39"/>
    </row>
    <row r="197" spans="1:5">
      <c r="A197" s="69" t="s">
        <v>1237</v>
      </c>
      <c r="B197" s="69" t="s">
        <v>1037</v>
      </c>
      <c r="C197" s="90" t="s">
        <v>1038</v>
      </c>
      <c r="D197" s="39"/>
      <c r="E197" s="39"/>
    </row>
    <row r="198" spans="1:5">
      <c r="A198" s="69" t="s">
        <v>1238</v>
      </c>
      <c r="B198" s="69" t="s">
        <v>1037</v>
      </c>
      <c r="C198" s="90" t="s">
        <v>1038</v>
      </c>
      <c r="D198" s="39"/>
      <c r="E198" s="39"/>
    </row>
    <row r="199" spans="1:5">
      <c r="A199" s="69" t="s">
        <v>1239</v>
      </c>
      <c r="B199" s="69" t="s">
        <v>1039</v>
      </c>
      <c r="C199" s="90" t="s">
        <v>1038</v>
      </c>
      <c r="D199" s="39"/>
      <c r="E199" s="39"/>
    </row>
    <row r="200" spans="1:5">
      <c r="A200" s="69" t="s">
        <v>1240</v>
      </c>
      <c r="B200" s="69" t="s">
        <v>1037</v>
      </c>
      <c r="C200" s="90" t="s">
        <v>1038</v>
      </c>
      <c r="D200" s="39"/>
      <c r="E200" s="39"/>
    </row>
    <row r="201" spans="1:5">
      <c r="A201" s="69" t="s">
        <v>1241</v>
      </c>
      <c r="B201" s="69" t="s">
        <v>1037</v>
      </c>
      <c r="C201" s="90" t="s">
        <v>1038</v>
      </c>
      <c r="D201" s="39"/>
      <c r="E201" s="39"/>
    </row>
    <row r="202" spans="1:5">
      <c r="A202" s="90" t="s">
        <v>1046</v>
      </c>
      <c r="B202" s="69" t="s">
        <v>1039</v>
      </c>
      <c r="C202" s="90" t="s">
        <v>1038</v>
      </c>
      <c r="D202" s="39"/>
      <c r="E202" s="39"/>
    </row>
    <row r="203" spans="1:5">
      <c r="A203" s="69" t="s">
        <v>1242</v>
      </c>
      <c r="B203" s="69" t="s">
        <v>1037</v>
      </c>
      <c r="C203" s="90" t="s">
        <v>1038</v>
      </c>
      <c r="D203" s="39"/>
      <c r="E203" s="39"/>
    </row>
    <row r="204" spans="1:5">
      <c r="A204" s="69" t="s">
        <v>1243</v>
      </c>
      <c r="B204" s="69" t="s">
        <v>1037</v>
      </c>
      <c r="C204" s="90" t="s">
        <v>1038</v>
      </c>
      <c r="D204" s="39"/>
      <c r="E204" s="39"/>
    </row>
    <row r="205" spans="1:5">
      <c r="A205" s="69" t="s">
        <v>1244</v>
      </c>
      <c r="B205" s="69" t="s">
        <v>1037</v>
      </c>
      <c r="C205" s="90" t="s">
        <v>1038</v>
      </c>
      <c r="D205" s="39"/>
      <c r="E205" s="39"/>
    </row>
    <row r="206" spans="1:5">
      <c r="A206" s="69" t="s">
        <v>1245</v>
      </c>
      <c r="B206" s="69" t="s">
        <v>1037</v>
      </c>
      <c r="C206" s="90" t="s">
        <v>1038</v>
      </c>
      <c r="D206" s="39"/>
      <c r="E206" s="39"/>
    </row>
    <row r="207" spans="1:5">
      <c r="A207" s="69" t="s">
        <v>1246</v>
      </c>
      <c r="B207" s="69" t="s">
        <v>1039</v>
      </c>
      <c r="C207" s="90" t="s">
        <v>1038</v>
      </c>
      <c r="D207" s="39"/>
      <c r="E207" s="39"/>
    </row>
    <row r="208" spans="1:5">
      <c r="A208" s="69" t="s">
        <v>1247</v>
      </c>
      <c r="B208" s="69" t="s">
        <v>1037</v>
      </c>
      <c r="C208" s="90" t="s">
        <v>1038</v>
      </c>
      <c r="D208" s="39"/>
      <c r="E208" s="39"/>
    </row>
    <row r="209" spans="1:5">
      <c r="A209" s="69" t="s">
        <v>1248</v>
      </c>
      <c r="B209" s="69" t="s">
        <v>1039</v>
      </c>
      <c r="C209" s="90" t="s">
        <v>1038</v>
      </c>
      <c r="D209" s="39"/>
      <c r="E209" s="39"/>
    </row>
    <row r="210" spans="1:5">
      <c r="A210" s="69" t="s">
        <v>1249</v>
      </c>
      <c r="B210" s="69" t="s">
        <v>1039</v>
      </c>
      <c r="C210" s="90" t="s">
        <v>1038</v>
      </c>
      <c r="D210" s="39"/>
      <c r="E210" s="39"/>
    </row>
    <row r="211" spans="1:5">
      <c r="A211" s="69" t="s">
        <v>1250</v>
      </c>
      <c r="B211" s="69" t="s">
        <v>1039</v>
      </c>
      <c r="C211" s="90" t="s">
        <v>1038</v>
      </c>
      <c r="D211" s="39"/>
      <c r="E211" s="39"/>
    </row>
    <row r="212" spans="1:5">
      <c r="A212" s="69" t="s">
        <v>1251</v>
      </c>
      <c r="B212" s="69" t="s">
        <v>1039</v>
      </c>
      <c r="C212" s="90" t="s">
        <v>1038</v>
      </c>
      <c r="D212" s="39"/>
      <c r="E212" s="39"/>
    </row>
    <row r="213" spans="1:5">
      <c r="A213" s="69" t="s">
        <v>1252</v>
      </c>
      <c r="B213" s="69" t="s">
        <v>1039</v>
      </c>
      <c r="C213" s="90" t="s">
        <v>1038</v>
      </c>
      <c r="D213" s="39"/>
      <c r="E213" s="39"/>
    </row>
    <row r="214" spans="1:5">
      <c r="A214" s="69" t="s">
        <v>1253</v>
      </c>
      <c r="B214" s="69" t="s">
        <v>1039</v>
      </c>
      <c r="C214" s="90" t="s">
        <v>1038</v>
      </c>
      <c r="D214" s="39"/>
      <c r="E214" s="39"/>
    </row>
    <row r="215" spans="1:5">
      <c r="A215" s="69" t="s">
        <v>1254</v>
      </c>
      <c r="B215" s="69" t="s">
        <v>1037</v>
      </c>
      <c r="C215" s="90" t="s">
        <v>1038</v>
      </c>
      <c r="D215" s="39"/>
      <c r="E215" s="39"/>
    </row>
    <row r="216" spans="1:5">
      <c r="A216" s="69" t="s">
        <v>1255</v>
      </c>
      <c r="B216" s="69" t="s">
        <v>1037</v>
      </c>
      <c r="C216" s="90" t="s">
        <v>1038</v>
      </c>
      <c r="D216" s="39"/>
      <c r="E216" s="39"/>
    </row>
    <row r="217" spans="1:5">
      <c r="A217" s="69" t="s">
        <v>1256</v>
      </c>
      <c r="B217" s="69" t="s">
        <v>1037</v>
      </c>
      <c r="C217" s="90" t="s">
        <v>1038</v>
      </c>
      <c r="D217" s="39"/>
      <c r="E217" s="39"/>
    </row>
    <row r="218" spans="1:5">
      <c r="A218" s="69" t="s">
        <v>1257</v>
      </c>
      <c r="B218" s="69" t="s">
        <v>1037</v>
      </c>
      <c r="C218" s="90" t="s">
        <v>1038</v>
      </c>
      <c r="D218" s="39"/>
      <c r="E218" s="39"/>
    </row>
    <row r="219" spans="1:5">
      <c r="A219" s="69" t="s">
        <v>1258</v>
      </c>
      <c r="B219" s="69" t="s">
        <v>1037</v>
      </c>
      <c r="C219" s="90" t="s">
        <v>1038</v>
      </c>
      <c r="D219" s="39"/>
      <c r="E219" s="39"/>
    </row>
    <row r="220" spans="1:5">
      <c r="A220" s="69" t="s">
        <v>1259</v>
      </c>
      <c r="B220" s="69" t="s">
        <v>1039</v>
      </c>
      <c r="C220" s="90" t="s">
        <v>1038</v>
      </c>
      <c r="D220" s="39"/>
      <c r="E220" s="39"/>
    </row>
    <row r="221" spans="1:5">
      <c r="A221" s="69" t="s">
        <v>1260</v>
      </c>
      <c r="B221" s="69" t="s">
        <v>1037</v>
      </c>
      <c r="C221" s="90" t="s">
        <v>1038</v>
      </c>
      <c r="D221" s="39"/>
      <c r="E221" s="39"/>
    </row>
    <row r="222" spans="1:5">
      <c r="A222" s="69" t="s">
        <v>1261</v>
      </c>
      <c r="B222" s="69" t="s">
        <v>1039</v>
      </c>
      <c r="C222" s="69"/>
      <c r="D222" s="39"/>
      <c r="E222" s="39"/>
    </row>
    <row r="223" spans="1:5">
      <c r="C223"/>
    </row>
    <row r="224" spans="1:5">
      <c r="C224"/>
    </row>
    <row r="225" spans="3:3">
      <c r="C225"/>
    </row>
    <row r="226" spans="3:3">
      <c r="C226"/>
    </row>
    <row r="227" spans="3:3">
      <c r="C227"/>
    </row>
    <row r="228" spans="3:3">
      <c r="C228"/>
    </row>
    <row r="229" spans="3:3">
      <c r="C229"/>
    </row>
    <row r="230" spans="3:3">
      <c r="C230"/>
    </row>
    <row r="231" spans="3:3">
      <c r="C231"/>
    </row>
    <row r="232" spans="3:3">
      <c r="C232"/>
    </row>
    <row r="233" spans="3:3">
      <c r="C233"/>
    </row>
    <row r="234" spans="3:3">
      <c r="C234"/>
    </row>
    <row r="235" spans="3:3">
      <c r="C235"/>
    </row>
    <row r="236" spans="3:3">
      <c r="C236"/>
    </row>
    <row r="237" spans="3:3">
      <c r="C237"/>
    </row>
    <row r="238" spans="3:3">
      <c r="C238"/>
    </row>
    <row r="239" spans="3:3">
      <c r="C239"/>
    </row>
    <row r="240" spans="3:3">
      <c r="C240"/>
    </row>
    <row r="241" spans="3:3">
      <c r="C241"/>
    </row>
    <row r="242" spans="3:3">
      <c r="C242"/>
    </row>
    <row r="243" spans="3:3">
      <c r="C243"/>
    </row>
    <row r="244" spans="3:3">
      <c r="C244"/>
    </row>
    <row r="245" spans="3:3">
      <c r="C245"/>
    </row>
    <row r="246" spans="3:3">
      <c r="C246"/>
    </row>
    <row r="247" spans="3:3">
      <c r="C247"/>
    </row>
    <row r="248" spans="3:3">
      <c r="C248"/>
    </row>
    <row r="249" spans="3:3">
      <c r="C249"/>
    </row>
    <row r="250" spans="3:3">
      <c r="C250"/>
    </row>
    <row r="251" spans="3:3">
      <c r="C251"/>
    </row>
    <row r="252" spans="3:3">
      <c r="C252"/>
    </row>
    <row r="253" spans="3:3">
      <c r="C253"/>
    </row>
    <row r="254" spans="3:3">
      <c r="C254"/>
    </row>
    <row r="255" spans="3:3">
      <c r="C255"/>
    </row>
    <row r="256" spans="3:3">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sheetData>
  <hyperlinks>
    <hyperlink ref="A4" r:id="rId1" display="https://thebanks.eu/banks/18103"/>
    <hyperlink ref="C4" r:id="rId2" display="https://thebanks.eu/banks/18103"/>
    <hyperlink ref="C221" r:id="rId3" display="https://thebanks.eu/banks/18298"/>
    <hyperlink ref="C220" r:id="rId4" display="https://thebanks.eu/banks/18297"/>
    <hyperlink ref="C219" r:id="rId5" display="https://thebanks.eu/banks/18296"/>
    <hyperlink ref="C218" r:id="rId6" display="https://thebanks.eu/banks/18295"/>
    <hyperlink ref="C217" r:id="rId7" display="https://thebanks.eu/banks/18294"/>
    <hyperlink ref="C216" r:id="rId8" display="https://thebanks.eu/banks/18293"/>
    <hyperlink ref="C215" r:id="rId9" display="https://thebanks.eu/banks/18292"/>
    <hyperlink ref="C214" r:id="rId10" display="https://thebanks.eu/banks/18291"/>
    <hyperlink ref="C213" r:id="rId11" display="https://thebanks.eu/banks/18290"/>
    <hyperlink ref="C212" r:id="rId12" display="https://thebanks.eu/banks/18288"/>
    <hyperlink ref="C211" r:id="rId13" display="https://thebanks.eu/banks/18287"/>
    <hyperlink ref="C210" r:id="rId14" display="https://thebanks.eu/banks/18286"/>
    <hyperlink ref="C209" r:id="rId15" display="https://thebanks.eu/banks/18285"/>
    <hyperlink ref="C208" r:id="rId16" display="https://thebanks.eu/banks/18284"/>
    <hyperlink ref="C207" r:id="rId17" display="https://thebanks.eu/banks/18283"/>
    <hyperlink ref="C206" r:id="rId18" display="https://thebanks.eu/banks/18282"/>
    <hyperlink ref="C205" r:id="rId19" display="https://thebanks.eu/banks/18280"/>
    <hyperlink ref="C204" r:id="rId20" display="https://thebanks.eu/banks/18279"/>
    <hyperlink ref="C203" r:id="rId21" display="https://thebanks.eu/banks/18278"/>
    <hyperlink ref="C202" r:id="rId22" display="https://thebanks.eu/banks/18277"/>
    <hyperlink ref="A202" r:id="rId23" display="https://thebanks.eu/banks/18277"/>
    <hyperlink ref="C201" r:id="rId24" display="https://thebanks.eu/banks/18276"/>
    <hyperlink ref="C200" r:id="rId25" display="https://thebanks.eu/banks/18275"/>
    <hyperlink ref="C199" r:id="rId26" display="https://thebanks.eu/banks/18274"/>
    <hyperlink ref="C198" r:id="rId27" display="https://thebanks.eu/banks/18273"/>
    <hyperlink ref="C197" r:id="rId28" display="https://thebanks.eu/banks/18272"/>
    <hyperlink ref="C196" r:id="rId29" display="https://thebanks.eu/banks/18281"/>
    <hyperlink ref="C195" r:id="rId30" display="https://thebanks.eu/banks/18271"/>
    <hyperlink ref="C194" r:id="rId31" display="https://thebanks.eu/banks/18270"/>
    <hyperlink ref="C193" r:id="rId32" display="https://thebanks.eu/banks/18269"/>
    <hyperlink ref="C192" r:id="rId33" display="https://thebanks.eu/banks/18268"/>
    <hyperlink ref="C191" r:id="rId34" display="https://thebanks.eu/banks/18267"/>
    <hyperlink ref="C190" r:id="rId35" display="https://thebanks.eu/banks/18266"/>
    <hyperlink ref="C189" r:id="rId36" display="https://thebanks.eu/banks/18265"/>
    <hyperlink ref="C188" r:id="rId37" display="https://thebanks.eu/banks/18264"/>
    <hyperlink ref="C187" r:id="rId38" display="https://thebanks.eu/banks/18263"/>
    <hyperlink ref="C186" r:id="rId39" display="https://thebanks.eu/banks/18262"/>
    <hyperlink ref="C185" r:id="rId40" display="https://thebanks.eu/banks/18261"/>
    <hyperlink ref="C184" r:id="rId41" display="https://thebanks.eu/banks/18260"/>
    <hyperlink ref="A184" r:id="rId42" display="https://thebanks.eu/banks/18260"/>
    <hyperlink ref="C183" r:id="rId43" display="https://thebanks.eu/banks/18259"/>
    <hyperlink ref="C182" r:id="rId44" display="https://thebanks.eu/banks/18313"/>
    <hyperlink ref="C181" r:id="rId45" display="https://thebanks.eu/banks/18258"/>
    <hyperlink ref="C180" r:id="rId46" display="https://thebanks.eu/banks/18257"/>
    <hyperlink ref="C179" r:id="rId47" display="https://thebanks.eu/banks/18256"/>
    <hyperlink ref="C178" r:id="rId48" display="https://thebanks.eu/banks/18255"/>
    <hyperlink ref="C177" r:id="rId49" display="https://thebanks.eu/banks/18254"/>
    <hyperlink ref="C176" r:id="rId50" display="https://thebanks.eu/banks/18312"/>
    <hyperlink ref="C175" r:id="rId51" display="https://thebanks.eu/banks/18253"/>
    <hyperlink ref="C174" r:id="rId52" display="https://thebanks.eu/banks/18252"/>
    <hyperlink ref="C173" r:id="rId53" display="https://thebanks.eu/banks/18251"/>
    <hyperlink ref="C172" r:id="rId54" display="https://thebanks.eu/banks/18249"/>
    <hyperlink ref="C171" r:id="rId55" display="https://thebanks.eu/banks/18311"/>
    <hyperlink ref="C170" r:id="rId56" display="https://thebanks.eu/banks/18248"/>
    <hyperlink ref="C169" r:id="rId57" display="https://thebanks.eu/banks/18245"/>
    <hyperlink ref="C168" r:id="rId58" display="https://thebanks.eu/banks/18244"/>
    <hyperlink ref="C167" r:id="rId59" display="https://thebanks.eu/banks/18243"/>
    <hyperlink ref="C166" r:id="rId60" display="https://thebanks.eu/banks/18247"/>
    <hyperlink ref="C165" r:id="rId61" display="https://thebanks.eu/banks/18246"/>
    <hyperlink ref="C164" r:id="rId62" display="https://thebanks.eu/banks/18242"/>
    <hyperlink ref="C163" r:id="rId63" display="https://thebanks.eu/banks/18680"/>
    <hyperlink ref="C162" r:id="rId64" display="https://thebanks.eu/banks/18241"/>
    <hyperlink ref="C161" r:id="rId65" display="https://thebanks.eu/banks/18240"/>
    <hyperlink ref="C160" r:id="rId66" display="https://thebanks.eu/banks/18239"/>
    <hyperlink ref="C159" r:id="rId67" display="https://thebanks.eu/banks/18236"/>
    <hyperlink ref="C158" r:id="rId68" display="https://thebanks.eu/banks/18235"/>
    <hyperlink ref="C157" r:id="rId69" display="https://thebanks.eu/banks/18234"/>
    <hyperlink ref="C156" r:id="rId70" display="https://thebanks.eu/banks/18233"/>
    <hyperlink ref="C155" r:id="rId71" display="https://thebanks.eu/banks/18238"/>
    <hyperlink ref="C154" r:id="rId72" display="https://thebanks.eu/banks/18237"/>
    <hyperlink ref="C153" r:id="rId73" display="https://thebanks.eu/banks/18232"/>
    <hyperlink ref="C152" r:id="rId74" display="https://thebanks.eu/banks/18310"/>
    <hyperlink ref="C151" r:id="rId75" display="https://thebanks.eu/banks/18230"/>
    <hyperlink ref="C150" r:id="rId76" display="https://thebanks.eu/banks/18231"/>
    <hyperlink ref="C149" r:id="rId77" display="https://thebanks.eu/banks/18229"/>
    <hyperlink ref="C148" r:id="rId78" display="https://thebanks.eu/banks/18228"/>
    <hyperlink ref="C147" r:id="rId79" display="https://thebanks.eu/banks/18227"/>
    <hyperlink ref="C146" r:id="rId80" display="https://thebanks.eu/banks/18226"/>
    <hyperlink ref="C145" r:id="rId81" display="https://thebanks.eu/banks/18309"/>
    <hyperlink ref="C144" r:id="rId82" display="https://thebanks.eu/banks/18225"/>
    <hyperlink ref="C143" r:id="rId83" display="https://thebanks.eu/banks/18224"/>
    <hyperlink ref="C142" r:id="rId84" display="https://thebanks.eu/banks/18289"/>
    <hyperlink ref="C141" r:id="rId85" display="https://thebanks.eu/banks/18314"/>
    <hyperlink ref="C140" r:id="rId86" display="https://thebanks.eu/banks/18222"/>
    <hyperlink ref="C139" r:id="rId87" display="https://thebanks.eu/banks/18221"/>
    <hyperlink ref="C138" r:id="rId88" display="https://thebanks.eu/banks/18223"/>
    <hyperlink ref="C137" r:id="rId89" display="https://thebanks.eu/banks/18220"/>
    <hyperlink ref="C136" r:id="rId90" display="https://thebanks.eu/banks/18219"/>
    <hyperlink ref="C135" r:id="rId91" display="https://thebanks.eu/banks/18217"/>
    <hyperlink ref="C134" r:id="rId92" display="https://thebanks.eu/banks/18218"/>
    <hyperlink ref="C133" r:id="rId93" display="https://thebanks.eu/banks/18216"/>
    <hyperlink ref="C132" r:id="rId94" display="https://thebanks.eu/banks/18214"/>
    <hyperlink ref="C131" r:id="rId95" display="https://thebanks.eu/banks/18213"/>
    <hyperlink ref="C130" r:id="rId96" display="https://thebanks.eu/banks/18212"/>
    <hyperlink ref="C129" r:id="rId97" display="https://thebanks.eu/banks/18210"/>
    <hyperlink ref="C128" r:id="rId98" display="https://thebanks.eu/banks/18209"/>
    <hyperlink ref="C127" r:id="rId99" display="https://thebanks.eu/banks/18208"/>
    <hyperlink ref="C126" r:id="rId100" display="https://thebanks.eu/banks/18207"/>
    <hyperlink ref="C125" r:id="rId101" display="https://thebanks.eu/banks/18215"/>
    <hyperlink ref="C124" r:id="rId102" display="https://thebanks.eu/banks/18211"/>
    <hyperlink ref="C123" r:id="rId103" display="https://thebanks.eu/banks/18206"/>
    <hyperlink ref="C122" r:id="rId104" display="https://thebanks.eu/banks/18203"/>
    <hyperlink ref="C121" r:id="rId105" display="https://thebanks.eu/banks/18678"/>
    <hyperlink ref="C120" r:id="rId106" display="https://thebanks.eu/banks/18202"/>
    <hyperlink ref="C119" r:id="rId107" display="https://thebanks.eu/banks/18160"/>
    <hyperlink ref="C118" r:id="rId108" display="https://thebanks.eu/banks/18205"/>
    <hyperlink ref="C117" r:id="rId109" display="https://thebanks.eu/banks/18204"/>
    <hyperlink ref="C116" r:id="rId110" display="https://thebanks.eu/banks/18307"/>
    <hyperlink ref="C115" r:id="rId111" display="https://thebanks.eu/banks/18201"/>
    <hyperlink ref="C114" r:id="rId112" display="https://thebanks.eu/banks/18593"/>
    <hyperlink ref="C113" r:id="rId113" display="https://thebanks.eu/banks/18199"/>
    <hyperlink ref="A113" r:id="rId114" display="https://thebanks.eu/banks/18199"/>
    <hyperlink ref="C112" r:id="rId115" display="https://thebanks.eu/banks/18200"/>
    <hyperlink ref="C111" r:id="rId116" display="https://thebanks.eu/banks/18306"/>
    <hyperlink ref="C110" r:id="rId117" display="https://thebanks.eu/banks/18198"/>
    <hyperlink ref="C109" r:id="rId118" display="https://thebanks.eu/banks/18197"/>
    <hyperlink ref="C108" r:id="rId119" display="https://thebanks.eu/banks/18196"/>
    <hyperlink ref="C107" r:id="rId120" display="https://thebanks.eu/banks/18305"/>
    <hyperlink ref="C106" r:id="rId121" display="https://thebanks.eu/banks/18195"/>
    <hyperlink ref="C105" r:id="rId122" display="https://thebanks.eu/banks/18194"/>
    <hyperlink ref="C104" r:id="rId123" display="https://thebanks.eu/banks/18190"/>
    <hyperlink ref="C103" r:id="rId124" display="https://thebanks.eu/banks/18304"/>
    <hyperlink ref="C102" r:id="rId125" display="https://thebanks.eu/banks/18189"/>
    <hyperlink ref="C101" r:id="rId126" display="https://thebanks.eu/banks/18193"/>
    <hyperlink ref="C100" r:id="rId127" display="https://thebanks.eu/banks/18192"/>
    <hyperlink ref="C99" r:id="rId128" display="https://thebanks.eu/banks/18191"/>
    <hyperlink ref="C98" r:id="rId129" display="https://thebanks.eu/banks/18188"/>
    <hyperlink ref="C97" r:id="rId130" display="https://thebanks.eu/banks/18187"/>
    <hyperlink ref="C96" r:id="rId131" display="https://thebanks.eu/banks/18186"/>
    <hyperlink ref="C95" r:id="rId132" display="https://thebanks.eu/banks/18185"/>
    <hyperlink ref="C94" r:id="rId133" display="https://thebanks.eu/banks/18184"/>
    <hyperlink ref="C93" r:id="rId134" display="https://thebanks.eu/banks/18182"/>
    <hyperlink ref="C92" r:id="rId135" display="https://thebanks.eu/banks/18250"/>
    <hyperlink ref="C91" r:id="rId136" display="https://thebanks.eu/banks/18181"/>
    <hyperlink ref="C90" r:id="rId137" display="https://thebanks.eu/banks/18180"/>
    <hyperlink ref="C89" r:id="rId138" display="https://thebanks.eu/banks/18130"/>
    <hyperlink ref="C88" r:id="rId139" display="https://thebanks.eu/banks/18178"/>
    <hyperlink ref="C87" r:id="rId140" display="https://thebanks.eu/banks/18176"/>
    <hyperlink ref="C86" r:id="rId141" display="https://thebanks.eu/banks/18302"/>
    <hyperlink ref="C85" r:id="rId142" display="https://thebanks.eu/banks/18175"/>
    <hyperlink ref="A85" r:id="rId143" display="https://thebanks.eu/banks/18175"/>
    <hyperlink ref="C84" r:id="rId144" display="https://thebanks.eu/banks/18174"/>
    <hyperlink ref="C83" r:id="rId145" display="https://thebanks.eu/banks/18301"/>
    <hyperlink ref="C82" r:id="rId146" display="https://thebanks.eu/banks/18173"/>
    <hyperlink ref="C81" r:id="rId147" display="https://thebanks.eu/banks/18172"/>
    <hyperlink ref="C80" r:id="rId148" display="https://thebanks.eu/banks/18171"/>
    <hyperlink ref="C79" r:id="rId149" display="https://thebanks.eu/banks/18308"/>
    <hyperlink ref="C78" r:id="rId150" display="https://thebanks.eu/banks/18183"/>
    <hyperlink ref="C77" r:id="rId151" display="https://thebanks.eu/banks/18179"/>
    <hyperlink ref="C76" r:id="rId152" display="https://thebanks.eu/banks/18177"/>
    <hyperlink ref="C75" r:id="rId153" display="https://thebanks.eu/banks/18677"/>
    <hyperlink ref="C74" r:id="rId154" display="https://thebanks.eu/banks/18303"/>
    <hyperlink ref="C73" r:id="rId155" display="https://thebanks.eu/banks/18300"/>
    <hyperlink ref="C72" r:id="rId156" display="https://thebanks.eu/banks/18170"/>
    <hyperlink ref="C71" r:id="rId157" display="https://thebanks.eu/banks/18169"/>
    <hyperlink ref="C70" r:id="rId158" display="https://thebanks.eu/banks/18168"/>
    <hyperlink ref="C69" r:id="rId159" display="https://thebanks.eu/banks/18161"/>
    <hyperlink ref="C68" r:id="rId160" display="https://thebanks.eu/banks/18158"/>
    <hyperlink ref="C67" r:id="rId161" display="https://thebanks.eu/banks/18157"/>
    <hyperlink ref="C66" r:id="rId162" display="https://thebanks.eu/banks/18156"/>
    <hyperlink ref="C65" r:id="rId163" display="https://thebanks.eu/banks/18155"/>
    <hyperlink ref="C64" r:id="rId164" display="https://thebanks.eu/banks/18154"/>
    <hyperlink ref="C63" r:id="rId165" display="https://thebanks.eu/banks/18153"/>
    <hyperlink ref="C62" r:id="rId166" display="https://thebanks.eu/banks/18152"/>
    <hyperlink ref="C61" r:id="rId167" display="https://thebanks.eu/banks/18151"/>
    <hyperlink ref="C60" r:id="rId168" display="https://thebanks.eu/banks/18150"/>
    <hyperlink ref="C59" r:id="rId169" display="https://thebanks.eu/banks/18149"/>
    <hyperlink ref="C58" r:id="rId170" display="https://thebanks.eu/banks/18148"/>
    <hyperlink ref="C57" r:id="rId171" display="https://thebanks.eu/banks/18147"/>
    <hyperlink ref="C56" r:id="rId172" display="https://thebanks.eu/banks/18146"/>
    <hyperlink ref="C55" r:id="rId173" display="https://thebanks.eu/banks/18675"/>
    <hyperlink ref="C54" r:id="rId174" display="https://thebanks.eu/banks/18145"/>
    <hyperlink ref="A54" r:id="rId175" display="https://thebanks.eu/banks/18145"/>
    <hyperlink ref="C53" r:id="rId176" display="https://thebanks.eu/banks/18144"/>
    <hyperlink ref="C52" r:id="rId177" display="https://thebanks.eu/banks/18124"/>
    <hyperlink ref="C51" r:id="rId178" display="https://thebanks.eu/banks/18123"/>
    <hyperlink ref="C50" r:id="rId179" display="https://thebanks.eu/banks/18122"/>
    <hyperlink ref="C49" r:id="rId180" display="https://thebanks.eu/banks/18121"/>
    <hyperlink ref="C48" r:id="rId181" display="https://thebanks.eu/banks/18143"/>
    <hyperlink ref="C47" r:id="rId182" display="https://thebanks.eu/banks/18142"/>
    <hyperlink ref="C46" r:id="rId183" display="https://thebanks.eu/banks/18141"/>
    <hyperlink ref="C45" r:id="rId184" display="https://thebanks.eu/banks/18140"/>
    <hyperlink ref="C44" r:id="rId185" display="https://thebanks.eu/banks/18139"/>
    <hyperlink ref="C43" r:id="rId186" display="https://thebanks.eu/banks/18138"/>
    <hyperlink ref="C42" r:id="rId187" display="https://thebanks.eu/banks/18137"/>
    <hyperlink ref="C41" r:id="rId188" display="https://thebanks.eu/banks/18674"/>
    <hyperlink ref="C40" r:id="rId189" display="https://thebanks.eu/banks/18136"/>
    <hyperlink ref="C39" r:id="rId190" display="https://thebanks.eu/banks/18135"/>
    <hyperlink ref="C38" r:id="rId191" display="https://thebanks.eu/banks/18134"/>
    <hyperlink ref="C37" r:id="rId192" display="https://thebanks.eu/banks/18133"/>
    <hyperlink ref="C36" r:id="rId193" display="https://thebanks.eu/banks/18132"/>
    <hyperlink ref="C35" r:id="rId194" display="https://thebanks.eu/banks/18131"/>
    <hyperlink ref="C34" r:id="rId195" display="https://thebanks.eu/banks/18129"/>
    <hyperlink ref="C33" r:id="rId196" display="https://thebanks.eu/banks/18128"/>
    <hyperlink ref="C32" r:id="rId197" display="https://thebanks.eu/banks/18127"/>
    <hyperlink ref="C31" r:id="rId198" display="https://thebanks.eu/banks/18126"/>
    <hyperlink ref="C30" r:id="rId199" display="https://thebanks.eu/banks/18125"/>
    <hyperlink ref="C29" r:id="rId200" display="https://thebanks.eu/banks/18119"/>
    <hyperlink ref="C28" r:id="rId201" display="https://thebanks.eu/banks/18117"/>
    <hyperlink ref="C27" r:id="rId202" display="https://thebanks.eu/banks/18114"/>
    <hyperlink ref="C26" r:id="rId203" display="https://thebanks.eu/banks/18118"/>
    <hyperlink ref="C25" r:id="rId204" display="https://thebanks.eu/banks/18116"/>
    <hyperlink ref="C24" r:id="rId205" display="https://thebanks.eu/banks/18115"/>
    <hyperlink ref="C23" r:id="rId206" display="https://thebanks.eu/banks/18113"/>
    <hyperlink ref="C22" r:id="rId207" display="https://thebanks.eu/banks/18167"/>
    <hyperlink ref="C21" r:id="rId208" display="https://thebanks.eu/banks/18166"/>
    <hyperlink ref="C20" r:id="rId209" display="https://thebanks.eu/banks/18165"/>
    <hyperlink ref="C19" r:id="rId210" display="https://thebanks.eu/banks/18164"/>
    <hyperlink ref="C18" r:id="rId211" display="https://thebanks.eu/banks/18163"/>
    <hyperlink ref="C17" r:id="rId212" display="https://thebanks.eu/banks/18162"/>
    <hyperlink ref="C16" r:id="rId213" display="https://thebanks.eu/banks/18159"/>
    <hyperlink ref="C15" r:id="rId214" display="https://thebanks.eu/banks/18120"/>
    <hyperlink ref="C14" r:id="rId215" display="https://thebanks.eu/banks/18112"/>
    <hyperlink ref="C13" r:id="rId216" display="https://thebanks.eu/banks/18111"/>
    <hyperlink ref="C12" r:id="rId217" display="https://thebanks.eu/banks/18110"/>
    <hyperlink ref="C11" r:id="rId218" display="https://thebanks.eu/banks/18109"/>
    <hyperlink ref="C10" r:id="rId219" display="https://thebanks.eu/banks/18108"/>
    <hyperlink ref="C9" r:id="rId220" display="https://thebanks.eu/banks/18107"/>
    <hyperlink ref="C8" r:id="rId221" display="https://thebanks.eu/banks/18106"/>
    <hyperlink ref="C7" r:id="rId222" display="https://thebanks.eu/banks/18105"/>
    <hyperlink ref="C6" r:id="rId223" display="https://thebanks.eu/banks/18589"/>
    <hyperlink ref="C5" r:id="rId224" display="https://thebanks.eu/banks/18104"/>
  </hyperlinks>
  <pageMargins left="0.7" right="0.7" top="0.75" bottom="0.75" header="0.3" footer="0.3"/>
  <pageSetup paperSize="9" orientation="portrait" r:id="rId225"/>
  <legacyDrawing r:id="rId22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
  <sheetViews>
    <sheetView workbookViewId="0">
      <selection activeCell="B7" sqref="B7"/>
    </sheetView>
  </sheetViews>
  <sheetFormatPr baseColWidth="10" defaultRowHeight="15"/>
  <cols>
    <col min="1" max="1" width="14.5703125" bestFit="1" customWidth="1"/>
    <col min="2" max="2" width="33.140625" bestFit="1" customWidth="1"/>
  </cols>
  <sheetData>
    <row r="1" spans="1:2">
      <c r="A1" s="1" t="s">
        <v>0</v>
      </c>
      <c r="B1" s="1" t="s">
        <v>2058</v>
      </c>
    </row>
    <row r="2" spans="1:2">
      <c r="A2" s="91" t="s">
        <v>3</v>
      </c>
      <c r="B2" s="91">
        <f>-0.92</f>
        <v>-0.92</v>
      </c>
    </row>
    <row r="3" spans="1:2">
      <c r="A3" s="92" t="s">
        <v>1</v>
      </c>
      <c r="B3" s="92">
        <f>18.17</f>
        <v>18.170000000000002</v>
      </c>
    </row>
    <row r="4" spans="1:2">
      <c r="A4" s="92" t="s">
        <v>2</v>
      </c>
      <c r="B4" s="92">
        <f>23.71</f>
        <v>23.71</v>
      </c>
    </row>
    <row r="5" spans="1:2">
      <c r="A5" s="92" t="s">
        <v>78</v>
      </c>
      <c r="B5" s="92">
        <f>19.72</f>
        <v>19.72</v>
      </c>
    </row>
    <row r="6" spans="1:2">
      <c r="A6" s="91" t="s">
        <v>79</v>
      </c>
      <c r="B6" s="91">
        <f>9</f>
        <v>9</v>
      </c>
    </row>
    <row r="7" spans="1:2">
      <c r="A7" s="92" t="s">
        <v>1263</v>
      </c>
      <c r="B7" s="92">
        <f>21</f>
        <v>21</v>
      </c>
    </row>
    <row r="8" spans="1:2">
      <c r="A8" s="92" t="s">
        <v>105</v>
      </c>
      <c r="B8" s="92">
        <f>21.17</f>
        <v>21.17</v>
      </c>
    </row>
    <row r="9" spans="1:2">
      <c r="A9" s="91" t="s">
        <v>106</v>
      </c>
      <c r="B9" s="91">
        <f>7.03</f>
        <v>7.03</v>
      </c>
    </row>
    <row r="10" spans="1:2">
      <c r="A10" s="92" t="s">
        <v>107</v>
      </c>
      <c r="B10" s="92">
        <f>10.95</f>
        <v>10.95</v>
      </c>
    </row>
    <row r="11" spans="1:2">
      <c r="A11" s="92" t="s">
        <v>142</v>
      </c>
      <c r="B11" s="92">
        <f>11</f>
        <v>11</v>
      </c>
    </row>
    <row r="12" spans="1:2">
      <c r="A12" s="91" t="s">
        <v>1264</v>
      </c>
      <c r="B12" s="91">
        <f>6</f>
        <v>6</v>
      </c>
    </row>
    <row r="13" spans="1:2">
      <c r="A13" s="92" t="s">
        <v>144</v>
      </c>
      <c r="B13" s="92">
        <f>11.62</f>
        <v>11.62</v>
      </c>
    </row>
    <row r="14" spans="1:2">
      <c r="A14" s="91" t="s">
        <v>171</v>
      </c>
      <c r="B14" s="91">
        <f>0.27</f>
        <v>0.27</v>
      </c>
    </row>
    <row r="15" spans="1:2">
      <c r="A15" s="91" t="s">
        <v>172</v>
      </c>
      <c r="B15" s="91">
        <f>-0.14</f>
        <v>-0.14000000000000001</v>
      </c>
    </row>
    <row r="16" spans="1:2">
      <c r="A16" s="91" t="s">
        <v>173</v>
      </c>
      <c r="B16" s="91">
        <f>6</f>
        <v>6</v>
      </c>
    </row>
    <row r="17" spans="1:2">
      <c r="A17" s="91" t="s">
        <v>197</v>
      </c>
      <c r="B17" s="91">
        <f>-12.01</f>
        <v>-12.01</v>
      </c>
    </row>
    <row r="18" spans="1:2">
      <c r="A18" s="91" t="s">
        <v>199</v>
      </c>
      <c r="B18" s="91">
        <f>-15.18</f>
        <v>-15.18</v>
      </c>
    </row>
    <row r="19" spans="1:2">
      <c r="A19" s="91" t="s">
        <v>198</v>
      </c>
      <c r="B19" s="91">
        <f>-7.17</f>
        <v>-7.17</v>
      </c>
    </row>
    <row r="20" spans="1:2">
      <c r="A20" s="91" t="s">
        <v>229</v>
      </c>
      <c r="B20" s="91">
        <f>8.4</f>
        <v>8.4</v>
      </c>
    </row>
    <row r="21" spans="1:2">
      <c r="A21" s="92" t="s">
        <v>230</v>
      </c>
      <c r="B21" s="92">
        <f>19.24</f>
        <v>19.239999999999998</v>
      </c>
    </row>
    <row r="22" spans="1:2">
      <c r="A22" s="91" t="s">
        <v>231</v>
      </c>
      <c r="B22" s="91">
        <f>-5.42</f>
        <v>-5.42</v>
      </c>
    </row>
    <row r="23" spans="1:2">
      <c r="A23" s="92" t="s">
        <v>264</v>
      </c>
      <c r="B23" s="92">
        <f>24.08</f>
        <v>24.08</v>
      </c>
    </row>
    <row r="24" spans="1:2">
      <c r="A24" s="92" t="s">
        <v>265</v>
      </c>
      <c r="B24" s="92">
        <f>22.61</f>
        <v>22.61</v>
      </c>
    </row>
    <row r="25" spans="1:2">
      <c r="A25" s="92" t="s">
        <v>266</v>
      </c>
      <c r="B25" s="92">
        <f>24.03</f>
        <v>24.03</v>
      </c>
    </row>
    <row r="26" spans="1:2">
      <c r="A26" s="91" t="s">
        <v>302</v>
      </c>
      <c r="B26" s="91">
        <f>-8.81</f>
        <v>-8.81</v>
      </c>
    </row>
    <row r="27" spans="1:2">
      <c r="A27" s="92" t="s">
        <v>1265</v>
      </c>
      <c r="B27" s="92">
        <f>15.74</f>
        <v>15.74</v>
      </c>
    </row>
    <row r="28" spans="1:2">
      <c r="A28" s="92" t="s">
        <v>1266</v>
      </c>
      <c r="B28" s="92">
        <f>15.74</f>
        <v>15.74</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28"/>
  <sheetViews>
    <sheetView workbookViewId="0">
      <selection activeCell="B27" sqref="B27"/>
    </sheetView>
  </sheetViews>
  <sheetFormatPr baseColWidth="10" defaultRowHeight="15"/>
  <cols>
    <col min="1" max="1" width="14.5703125" bestFit="1" customWidth="1"/>
    <col min="2" max="2" width="34.42578125" bestFit="1" customWidth="1"/>
  </cols>
  <sheetData>
    <row r="1" spans="1:2">
      <c r="A1" s="1" t="s">
        <v>0</v>
      </c>
      <c r="B1" s="1" t="s">
        <v>1367</v>
      </c>
    </row>
    <row r="2" spans="1:2">
      <c r="A2" s="94" t="s">
        <v>3</v>
      </c>
      <c r="B2" s="111">
        <f>214</f>
        <v>214</v>
      </c>
    </row>
    <row r="3" spans="1:2">
      <c r="A3" s="94" t="s">
        <v>1</v>
      </c>
      <c r="B3" s="111">
        <f>165</f>
        <v>165</v>
      </c>
    </row>
    <row r="4" spans="1:2">
      <c r="A4" s="94" t="s">
        <v>2</v>
      </c>
      <c r="B4" s="111">
        <f>620</f>
        <v>620</v>
      </c>
    </row>
    <row r="5" spans="1:2">
      <c r="A5" s="94" t="s">
        <v>78</v>
      </c>
      <c r="B5" s="111">
        <f>589</f>
        <v>589</v>
      </c>
    </row>
    <row r="6" spans="1:2">
      <c r="A6" s="94" t="s">
        <v>79</v>
      </c>
      <c r="B6" s="111">
        <f>160</f>
        <v>160</v>
      </c>
    </row>
    <row r="7" spans="1:2">
      <c r="A7" s="94" t="s">
        <v>1263</v>
      </c>
      <c r="B7" s="111">
        <f>145</f>
        <v>145</v>
      </c>
    </row>
    <row r="8" spans="1:2">
      <c r="A8" s="94" t="s">
        <v>105</v>
      </c>
      <c r="B8" s="111">
        <f>414</f>
        <v>414</v>
      </c>
    </row>
    <row r="9" spans="1:2">
      <c r="A9" s="94" t="s">
        <v>106</v>
      </c>
      <c r="B9" s="111">
        <f>95</f>
        <v>95</v>
      </c>
    </row>
    <row r="10" spans="1:2">
      <c r="A10" s="94" t="s">
        <v>107</v>
      </c>
      <c r="B10" s="111">
        <f>22.63</f>
        <v>22.63</v>
      </c>
    </row>
    <row r="11" spans="1:2">
      <c r="A11" s="94" t="s">
        <v>142</v>
      </c>
      <c r="B11" s="111">
        <f>140</f>
        <v>140</v>
      </c>
    </row>
    <row r="12" spans="1:2">
      <c r="A12" s="94" t="s">
        <v>1264</v>
      </c>
      <c r="B12" s="111">
        <f>61</f>
        <v>61</v>
      </c>
    </row>
    <row r="13" spans="1:2">
      <c r="A13" s="94" t="s">
        <v>144</v>
      </c>
      <c r="B13" s="111">
        <f>455</f>
        <v>455</v>
      </c>
    </row>
    <row r="14" spans="1:2">
      <c r="A14" s="94" t="s">
        <v>171</v>
      </c>
      <c r="B14" s="111">
        <f>273</f>
        <v>273</v>
      </c>
    </row>
    <row r="15" spans="1:2">
      <c r="A15" s="94" t="s">
        <v>172</v>
      </c>
      <c r="B15" s="111">
        <f>125</f>
        <v>125</v>
      </c>
    </row>
    <row r="16" spans="1:2">
      <c r="A16" s="94" t="s">
        <v>173</v>
      </c>
      <c r="B16" s="111">
        <f>B12</f>
        <v>61</v>
      </c>
    </row>
    <row r="17" spans="1:2">
      <c r="A17" s="94" t="s">
        <v>197</v>
      </c>
      <c r="B17" s="111">
        <f>1000</f>
        <v>1000</v>
      </c>
    </row>
    <row r="18" spans="1:2">
      <c r="A18" s="94" t="s">
        <v>199</v>
      </c>
      <c r="B18" s="111">
        <f>80</f>
        <v>80</v>
      </c>
    </row>
    <row r="19" spans="1:2">
      <c r="A19" s="94" t="s">
        <v>198</v>
      </c>
      <c r="B19" s="111">
        <f>100</f>
        <v>100</v>
      </c>
    </row>
    <row r="20" spans="1:2">
      <c r="A20" s="94" t="s">
        <v>229</v>
      </c>
      <c r="B20" s="111">
        <f>108.6</f>
        <v>108.6</v>
      </c>
    </row>
    <row r="21" spans="1:2">
      <c r="A21" s="94" t="s">
        <v>230</v>
      </c>
      <c r="B21" s="111">
        <f>1409</f>
        <v>1409</v>
      </c>
    </row>
    <row r="22" spans="1:2">
      <c r="A22" s="94" t="s">
        <v>231</v>
      </c>
      <c r="B22" s="111">
        <f>900</f>
        <v>900</v>
      </c>
    </row>
    <row r="23" spans="1:2">
      <c r="A23" s="94" t="s">
        <v>264</v>
      </c>
      <c r="B23" s="111">
        <f>4296.41</f>
        <v>4296.41</v>
      </c>
    </row>
    <row r="24" spans="1:2">
      <c r="A24" s="94" t="s">
        <v>265</v>
      </c>
      <c r="B24" s="111">
        <f>3500</f>
        <v>3500</v>
      </c>
    </row>
    <row r="25" spans="1:2">
      <c r="A25" s="94" t="s">
        <v>266</v>
      </c>
      <c r="B25" s="111">
        <f>2340</f>
        <v>2340</v>
      </c>
    </row>
    <row r="26" spans="1:2">
      <c r="A26" s="94" t="s">
        <v>302</v>
      </c>
      <c r="B26" s="111">
        <f>2368</f>
        <v>2368</v>
      </c>
    </row>
    <row r="27" spans="1:2">
      <c r="A27" s="94" t="s">
        <v>1265</v>
      </c>
      <c r="B27" s="111">
        <f>10</f>
        <v>10</v>
      </c>
    </row>
    <row r="28" spans="1:2">
      <c r="A28" s="94" t="s">
        <v>1266</v>
      </c>
      <c r="B28" s="111">
        <f>10</f>
        <v>10</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28"/>
  <sheetViews>
    <sheetView workbookViewId="0">
      <selection activeCell="B29" sqref="B29"/>
    </sheetView>
  </sheetViews>
  <sheetFormatPr baseColWidth="10" defaultRowHeight="15"/>
  <cols>
    <col min="1" max="1" width="19.140625" bestFit="1" customWidth="1"/>
    <col min="2" max="2" width="17.7109375" bestFit="1" customWidth="1"/>
  </cols>
  <sheetData>
    <row r="1" spans="1:2">
      <c r="A1" s="1" t="s">
        <v>0</v>
      </c>
      <c r="B1" s="1" t="s">
        <v>1303</v>
      </c>
    </row>
    <row r="2" spans="1:2">
      <c r="A2" s="94" t="s">
        <v>3</v>
      </c>
      <c r="B2" s="94">
        <f>-0.9</f>
        <v>-0.9</v>
      </c>
    </row>
    <row r="3" spans="1:2">
      <c r="A3" s="94" t="s">
        <v>1</v>
      </c>
      <c r="B3" s="94">
        <f>1.8</f>
        <v>1.8</v>
      </c>
    </row>
    <row r="4" spans="1:2">
      <c r="A4" s="94" t="s">
        <v>2</v>
      </c>
      <c r="B4" s="94">
        <f>5.6</f>
        <v>5.6</v>
      </c>
    </row>
    <row r="5" spans="1:2">
      <c r="A5" s="94" t="s">
        <v>78</v>
      </c>
      <c r="B5" s="94">
        <f>0.6</f>
        <v>0.6</v>
      </c>
    </row>
    <row r="6" spans="1:2">
      <c r="A6" s="94" t="s">
        <v>79</v>
      </c>
      <c r="B6" s="94">
        <f>1.7</f>
        <v>1.7</v>
      </c>
    </row>
    <row r="7" spans="1:2">
      <c r="A7" s="94" t="s">
        <v>80</v>
      </c>
      <c r="B7" s="94">
        <f>2.5</f>
        <v>2.5</v>
      </c>
    </row>
    <row r="8" spans="1:2">
      <c r="A8" s="94" t="s">
        <v>105</v>
      </c>
      <c r="B8" s="94">
        <f>2.1</f>
        <v>2.1</v>
      </c>
    </row>
    <row r="9" spans="1:2">
      <c r="A9" s="94" t="s">
        <v>106</v>
      </c>
      <c r="B9" s="94">
        <f>2.3</f>
        <v>2.2999999999999998</v>
      </c>
    </row>
    <row r="10" spans="1:2">
      <c r="A10" s="94" t="s">
        <v>107</v>
      </c>
      <c r="B10" s="94">
        <f>13.5</f>
        <v>13.5</v>
      </c>
    </row>
    <row r="11" spans="1:2">
      <c r="A11" s="94" t="s">
        <v>142</v>
      </c>
      <c r="B11" s="94">
        <f>2.3</f>
        <v>2.2999999999999998</v>
      </c>
    </row>
    <row r="12" spans="1:2">
      <c r="A12" s="94" t="s">
        <v>1264</v>
      </c>
      <c r="B12" s="94">
        <f>2.4</f>
        <v>2.4</v>
      </c>
    </row>
    <row r="13" spans="1:2">
      <c r="A13" s="94" t="s">
        <v>144</v>
      </c>
      <c r="B13" s="94">
        <f>2.4</f>
        <v>2.4</v>
      </c>
    </row>
    <row r="14" spans="1:2">
      <c r="A14" s="109" t="s">
        <v>171</v>
      </c>
      <c r="B14" s="109">
        <f>0.8</f>
        <v>0.8</v>
      </c>
    </row>
    <row r="15" spans="1:2">
      <c r="A15" s="94" t="s">
        <v>172</v>
      </c>
      <c r="B15" s="94">
        <f>1.6</f>
        <v>1.6</v>
      </c>
    </row>
    <row r="16" spans="1:2">
      <c r="A16" s="94" t="s">
        <v>173</v>
      </c>
      <c r="B16" s="94">
        <f>4.5</f>
        <v>4.5</v>
      </c>
    </row>
    <row r="17" spans="1:2">
      <c r="A17" s="94" t="s">
        <v>197</v>
      </c>
      <c r="B17" s="94">
        <f>1.2</f>
        <v>1.2</v>
      </c>
    </row>
    <row r="18" spans="1:2">
      <c r="A18" s="94" t="s">
        <v>199</v>
      </c>
      <c r="B18" s="94">
        <f>2.5</f>
        <v>2.5</v>
      </c>
    </row>
    <row r="19" spans="1:2">
      <c r="A19" s="94" t="s">
        <v>198</v>
      </c>
      <c r="B19" s="108">
        <f>1.46</f>
        <v>1.46</v>
      </c>
    </row>
    <row r="20" spans="1:2">
      <c r="A20" s="94" t="s">
        <v>229</v>
      </c>
      <c r="B20" s="94">
        <f>2.1</f>
        <v>2.1</v>
      </c>
    </row>
    <row r="21" spans="1:2">
      <c r="A21" s="94" t="s">
        <v>230</v>
      </c>
      <c r="B21" s="94">
        <f>1.7</f>
        <v>1.7</v>
      </c>
    </row>
    <row r="22" spans="1:2">
      <c r="A22" s="94" t="s">
        <v>231</v>
      </c>
      <c r="B22" s="94">
        <f>2.1</f>
        <v>2.1</v>
      </c>
    </row>
    <row r="23" spans="1:2">
      <c r="A23" s="94" t="s">
        <v>264</v>
      </c>
      <c r="B23" s="94">
        <f>1.3</f>
        <v>1.3</v>
      </c>
    </row>
    <row r="24" spans="1:2">
      <c r="A24" s="94" t="s">
        <v>265</v>
      </c>
      <c r="B24" s="94">
        <f>3.13</f>
        <v>3.13</v>
      </c>
    </row>
    <row r="25" spans="1:2">
      <c r="A25" s="94" t="s">
        <v>266</v>
      </c>
      <c r="B25" s="94">
        <f>0.6</f>
        <v>0.6</v>
      </c>
    </row>
    <row r="26" spans="1:2">
      <c r="A26" s="94" t="s">
        <v>302</v>
      </c>
      <c r="B26" s="94">
        <f>1.2</f>
        <v>1.2</v>
      </c>
    </row>
    <row r="27" spans="1:2">
      <c r="A27" s="94" t="s">
        <v>1265</v>
      </c>
      <c r="B27" s="190">
        <f>3.8</f>
        <v>3.8</v>
      </c>
    </row>
    <row r="28" spans="1:2">
      <c r="A28" s="94" t="s">
        <v>1266</v>
      </c>
      <c r="B28" s="191"/>
    </row>
  </sheetData>
  <mergeCells count="1">
    <mergeCell ref="B27:B28"/>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D28"/>
  <sheetViews>
    <sheetView topLeftCell="B1" workbookViewId="0">
      <selection activeCell="C26" sqref="C26"/>
    </sheetView>
  </sheetViews>
  <sheetFormatPr baseColWidth="10" defaultRowHeight="15"/>
  <cols>
    <col min="1" max="1" width="19.140625" bestFit="1" customWidth="1"/>
    <col min="2" max="2" width="95.42578125" bestFit="1" customWidth="1"/>
    <col min="3" max="3" width="109.140625" bestFit="1" customWidth="1"/>
    <col min="4" max="4" width="24.85546875" bestFit="1" customWidth="1"/>
  </cols>
  <sheetData>
    <row r="1" spans="1:4">
      <c r="A1" s="1" t="s">
        <v>0</v>
      </c>
      <c r="B1" s="1" t="s">
        <v>1289</v>
      </c>
      <c r="C1" s="1" t="s">
        <v>1282</v>
      </c>
      <c r="D1" s="1" t="s">
        <v>1283</v>
      </c>
    </row>
    <row r="2" spans="1:4">
      <c r="A2" s="94" t="s">
        <v>3</v>
      </c>
      <c r="B2" s="94" t="s">
        <v>1401</v>
      </c>
      <c r="C2" s="94" t="s">
        <v>1402</v>
      </c>
      <c r="D2" s="94" t="s">
        <v>41</v>
      </c>
    </row>
    <row r="3" spans="1:4">
      <c r="A3" s="94" t="s">
        <v>1</v>
      </c>
      <c r="B3" s="94" t="s">
        <v>1403</v>
      </c>
      <c r="C3" s="94" t="s">
        <v>1404</v>
      </c>
      <c r="D3" s="94" t="s">
        <v>41</v>
      </c>
    </row>
    <row r="4" spans="1:4">
      <c r="A4" s="94" t="s">
        <v>2</v>
      </c>
      <c r="B4" s="94" t="s">
        <v>1406</v>
      </c>
      <c r="C4" s="94" t="s">
        <v>1405</v>
      </c>
      <c r="D4" s="94" t="s">
        <v>41</v>
      </c>
    </row>
    <row r="5" spans="1:4">
      <c r="A5" s="94" t="s">
        <v>78</v>
      </c>
      <c r="B5" s="94" t="s">
        <v>1407</v>
      </c>
      <c r="C5" s="94" t="s">
        <v>1408</v>
      </c>
      <c r="D5" s="94" t="s">
        <v>5</v>
      </c>
    </row>
    <row r="6" spans="1:4">
      <c r="A6" s="94" t="s">
        <v>79</v>
      </c>
      <c r="B6" s="94" t="s">
        <v>1410</v>
      </c>
      <c r="C6" s="94" t="s">
        <v>1409</v>
      </c>
      <c r="D6" s="94" t="s">
        <v>41</v>
      </c>
    </row>
    <row r="7" spans="1:4">
      <c r="A7" s="94" t="s">
        <v>80</v>
      </c>
      <c r="B7" s="94" t="s">
        <v>1411</v>
      </c>
      <c r="C7" s="108" t="s">
        <v>1412</v>
      </c>
      <c r="D7" s="94" t="s">
        <v>5</v>
      </c>
    </row>
    <row r="8" spans="1:4">
      <c r="A8" s="94" t="s">
        <v>105</v>
      </c>
      <c r="B8" s="94" t="s">
        <v>1413</v>
      </c>
      <c r="C8" s="94" t="s">
        <v>1414</v>
      </c>
      <c r="D8" s="94" t="s">
        <v>5</v>
      </c>
    </row>
    <row r="9" spans="1:4">
      <c r="A9" s="94" t="s">
        <v>106</v>
      </c>
      <c r="B9" s="94" t="s">
        <v>1415</v>
      </c>
      <c r="C9" s="94" t="s">
        <v>1416</v>
      </c>
      <c r="D9" s="94" t="s">
        <v>41</v>
      </c>
    </row>
    <row r="10" spans="1:4">
      <c r="A10" s="94" t="s">
        <v>107</v>
      </c>
      <c r="B10" s="94" t="s">
        <v>1417</v>
      </c>
      <c r="C10" s="94" t="s">
        <v>1418</v>
      </c>
      <c r="D10" s="94" t="s">
        <v>41</v>
      </c>
    </row>
    <row r="11" spans="1:4">
      <c r="A11" s="94" t="s">
        <v>142</v>
      </c>
      <c r="B11" s="94" t="s">
        <v>1419</v>
      </c>
      <c r="C11" s="94" t="s">
        <v>1420</v>
      </c>
      <c r="D11" s="94" t="s">
        <v>41</v>
      </c>
    </row>
    <row r="12" spans="1:4">
      <c r="A12" s="94" t="s">
        <v>1264</v>
      </c>
      <c r="B12" s="94" t="s">
        <v>1421</v>
      </c>
      <c r="C12" s="94" t="s">
        <v>1422</v>
      </c>
      <c r="D12" s="94" t="s">
        <v>41</v>
      </c>
    </row>
    <row r="13" spans="1:4">
      <c r="A13" s="94" t="s">
        <v>144</v>
      </c>
      <c r="B13" s="94" t="s">
        <v>1424</v>
      </c>
      <c r="C13" s="94" t="s">
        <v>1423</v>
      </c>
      <c r="D13" s="94" t="s">
        <v>41</v>
      </c>
    </row>
    <row r="14" spans="1:4">
      <c r="A14" s="94" t="s">
        <v>171</v>
      </c>
      <c r="B14" s="94" t="s">
        <v>1425</v>
      </c>
      <c r="C14" s="94" t="s">
        <v>1426</v>
      </c>
      <c r="D14" s="94" t="s">
        <v>41</v>
      </c>
    </row>
    <row r="15" spans="1:4">
      <c r="A15" s="94" t="s">
        <v>172</v>
      </c>
      <c r="B15" s="94" t="s">
        <v>1427</v>
      </c>
      <c r="C15" s="94" t="s">
        <v>1428</v>
      </c>
      <c r="D15" s="94" t="s">
        <v>41</v>
      </c>
    </row>
    <row r="16" spans="1:4">
      <c r="A16" s="94" t="s">
        <v>173</v>
      </c>
      <c r="B16" s="94" t="s">
        <v>1429</v>
      </c>
      <c r="C16" s="94" t="s">
        <v>1430</v>
      </c>
      <c r="D16" s="94" t="s">
        <v>41</v>
      </c>
    </row>
    <row r="17" spans="1:4">
      <c r="A17" s="94" t="s">
        <v>197</v>
      </c>
      <c r="B17" s="94" t="s">
        <v>1431</v>
      </c>
      <c r="C17" s="94" t="s">
        <v>1432</v>
      </c>
      <c r="D17" s="94" t="s">
        <v>41</v>
      </c>
    </row>
    <row r="18" spans="1:4">
      <c r="A18" s="94" t="s">
        <v>199</v>
      </c>
      <c r="B18" s="94" t="s">
        <v>1433</v>
      </c>
      <c r="C18" s="94" t="s">
        <v>1434</v>
      </c>
      <c r="D18" s="94" t="s">
        <v>41</v>
      </c>
    </row>
    <row r="19" spans="1:4">
      <c r="A19" s="94" t="s">
        <v>198</v>
      </c>
      <c r="B19" s="94" t="s">
        <v>1436</v>
      </c>
      <c r="C19" s="94" t="s">
        <v>1435</v>
      </c>
      <c r="D19" s="94" t="s">
        <v>41</v>
      </c>
    </row>
    <row r="20" spans="1:4">
      <c r="A20" s="94" t="s">
        <v>229</v>
      </c>
      <c r="B20" s="94" t="s">
        <v>1437</v>
      </c>
      <c r="C20" s="94" t="s">
        <v>1438</v>
      </c>
      <c r="D20" s="94" t="s">
        <v>41</v>
      </c>
    </row>
    <row r="21" spans="1:4">
      <c r="A21" s="94" t="s">
        <v>230</v>
      </c>
      <c r="B21" s="94" t="s">
        <v>1439</v>
      </c>
      <c r="C21" s="94" t="s">
        <v>1440</v>
      </c>
      <c r="D21" s="94" t="s">
        <v>41</v>
      </c>
    </row>
    <row r="22" spans="1:4">
      <c r="A22" s="94" t="s">
        <v>231</v>
      </c>
      <c r="B22" s="94" t="s">
        <v>1441</v>
      </c>
      <c r="C22" s="94" t="s">
        <v>1442</v>
      </c>
      <c r="D22" s="94" t="s">
        <v>41</v>
      </c>
    </row>
    <row r="23" spans="1:4">
      <c r="A23" s="94" t="s">
        <v>264</v>
      </c>
      <c r="B23" s="94" t="s">
        <v>1445</v>
      </c>
      <c r="C23" s="94" t="s">
        <v>1443</v>
      </c>
      <c r="D23" s="94" t="s">
        <v>41</v>
      </c>
    </row>
    <row r="24" spans="1:4">
      <c r="A24" s="94" t="s">
        <v>265</v>
      </c>
      <c r="B24" s="94" t="s">
        <v>1444</v>
      </c>
      <c r="C24" s="94" t="s">
        <v>1446</v>
      </c>
      <c r="D24" s="94" t="s">
        <v>41</v>
      </c>
    </row>
    <row r="25" spans="1:4">
      <c r="A25" s="94" t="s">
        <v>266</v>
      </c>
      <c r="B25" s="94" t="s">
        <v>1447</v>
      </c>
      <c r="C25" s="94" t="s">
        <v>1448</v>
      </c>
      <c r="D25" s="94" t="s">
        <v>41</v>
      </c>
    </row>
    <row r="26" spans="1:4">
      <c r="A26" s="94" t="s">
        <v>302</v>
      </c>
      <c r="B26" s="94" t="s">
        <v>1449</v>
      </c>
      <c r="C26" s="94" t="s">
        <v>1450</v>
      </c>
      <c r="D26" s="94" t="s">
        <v>41</v>
      </c>
    </row>
    <row r="27" spans="1:4">
      <c r="A27" s="94" t="s">
        <v>1265</v>
      </c>
      <c r="B27" s="108" t="s">
        <v>1451</v>
      </c>
      <c r="C27" s="108" t="s">
        <v>1452</v>
      </c>
      <c r="D27" s="94" t="s">
        <v>41</v>
      </c>
    </row>
    <row r="28" spans="1:4">
      <c r="A28" s="94" t="s">
        <v>1266</v>
      </c>
      <c r="B28" s="94" t="s">
        <v>1453</v>
      </c>
      <c r="C28" s="94" t="s">
        <v>1454</v>
      </c>
      <c r="D28" s="94" t="s">
        <v>41</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28"/>
  <sheetViews>
    <sheetView workbookViewId="0">
      <pane ySplit="600" activePane="bottomLeft"/>
      <selection activeCell="B1" sqref="B1:B1048576"/>
      <selection pane="bottomLeft" activeCell="D1" sqref="D1:D28"/>
    </sheetView>
  </sheetViews>
  <sheetFormatPr baseColWidth="10" defaultRowHeight="15"/>
  <cols>
    <col min="1" max="1" width="14.5703125" bestFit="1" customWidth="1"/>
    <col min="2" max="2" width="132.28515625" bestFit="1" customWidth="1"/>
    <col min="4" max="4" width="22" bestFit="1" customWidth="1"/>
  </cols>
  <sheetData>
    <row r="1" spans="1:2">
      <c r="A1" s="1" t="s">
        <v>0</v>
      </c>
      <c r="B1" s="1" t="s">
        <v>1279</v>
      </c>
    </row>
    <row r="2" spans="1:2">
      <c r="A2" s="91" t="s">
        <v>3</v>
      </c>
      <c r="B2" s="91" t="s">
        <v>1262</v>
      </c>
    </row>
    <row r="3" spans="1:2">
      <c r="A3" s="92" t="s">
        <v>1</v>
      </c>
      <c r="B3" s="92" t="s">
        <v>1268</v>
      </c>
    </row>
    <row r="4" spans="1:2">
      <c r="A4" s="92" t="s">
        <v>2</v>
      </c>
      <c r="B4" s="92" t="s">
        <v>1267</v>
      </c>
    </row>
    <row r="5" spans="1:2">
      <c r="A5" s="92" t="s">
        <v>78</v>
      </c>
      <c r="B5" s="92" t="s">
        <v>1268</v>
      </c>
    </row>
    <row r="6" spans="1:2">
      <c r="A6" s="92" t="s">
        <v>79</v>
      </c>
      <c r="B6" s="92" t="s">
        <v>2059</v>
      </c>
    </row>
    <row r="7" spans="1:2">
      <c r="A7" s="92" t="s">
        <v>1263</v>
      </c>
      <c r="B7" s="92" t="s">
        <v>1268</v>
      </c>
    </row>
    <row r="8" spans="1:2">
      <c r="A8" s="92" t="s">
        <v>105</v>
      </c>
      <c r="B8" s="92" t="s">
        <v>1269</v>
      </c>
    </row>
    <row r="9" spans="1:2">
      <c r="A9" s="91" t="s">
        <v>106</v>
      </c>
      <c r="B9" s="91" t="s">
        <v>1270</v>
      </c>
    </row>
    <row r="10" spans="1:2">
      <c r="A10" s="91" t="s">
        <v>107</v>
      </c>
      <c r="B10" s="91" t="s">
        <v>1271</v>
      </c>
    </row>
    <row r="11" spans="1:2">
      <c r="A11" s="92" t="s">
        <v>142</v>
      </c>
      <c r="B11" s="92" t="s">
        <v>2068</v>
      </c>
    </row>
    <row r="12" spans="1:2">
      <c r="A12" s="92" t="s">
        <v>1264</v>
      </c>
      <c r="B12" s="92" t="s">
        <v>2060</v>
      </c>
    </row>
    <row r="13" spans="1:2">
      <c r="A13" s="92" t="s">
        <v>144</v>
      </c>
      <c r="B13" s="92" t="s">
        <v>2061</v>
      </c>
    </row>
    <row r="14" spans="1:2">
      <c r="A14" s="92" t="s">
        <v>171</v>
      </c>
      <c r="B14" s="92" t="s">
        <v>1272</v>
      </c>
    </row>
    <row r="15" spans="1:2">
      <c r="A15" s="92" t="s">
        <v>172</v>
      </c>
      <c r="B15" s="92" t="s">
        <v>2062</v>
      </c>
    </row>
    <row r="16" spans="1:2">
      <c r="A16" s="92" t="s">
        <v>173</v>
      </c>
      <c r="B16" s="92" t="s">
        <v>2063</v>
      </c>
    </row>
    <row r="17" spans="1:2">
      <c r="A17" s="91" t="s">
        <v>197</v>
      </c>
      <c r="B17" s="91" t="s">
        <v>2064</v>
      </c>
    </row>
    <row r="18" spans="1:2">
      <c r="A18" s="91" t="s">
        <v>199</v>
      </c>
      <c r="B18" s="91" t="s">
        <v>1273</v>
      </c>
    </row>
    <row r="19" spans="1:2">
      <c r="A19" s="92" t="s">
        <v>198</v>
      </c>
      <c r="B19" s="93" t="s">
        <v>2065</v>
      </c>
    </row>
    <row r="20" spans="1:2">
      <c r="A20" s="92" t="s">
        <v>229</v>
      </c>
      <c r="B20" s="92" t="s">
        <v>1274</v>
      </c>
    </row>
    <row r="21" spans="1:2" ht="14.25" customHeight="1">
      <c r="A21" s="92" t="s">
        <v>230</v>
      </c>
      <c r="B21" s="92" t="s">
        <v>1275</v>
      </c>
    </row>
    <row r="22" spans="1:2">
      <c r="A22" s="91" t="s">
        <v>231</v>
      </c>
      <c r="B22" s="91" t="s">
        <v>1276</v>
      </c>
    </row>
    <row r="23" spans="1:2">
      <c r="A23" s="91" t="s">
        <v>264</v>
      </c>
      <c r="B23" s="91" t="s">
        <v>2066</v>
      </c>
    </row>
    <row r="24" spans="1:2">
      <c r="A24" s="92" t="s">
        <v>265</v>
      </c>
      <c r="B24" s="93" t="s">
        <v>2067</v>
      </c>
    </row>
    <row r="25" spans="1:2">
      <c r="A25" s="92" t="s">
        <v>266</v>
      </c>
      <c r="B25" s="92" t="s">
        <v>1277</v>
      </c>
    </row>
    <row r="26" spans="1:2">
      <c r="A26" s="92" t="s">
        <v>302</v>
      </c>
      <c r="B26" s="92" t="s">
        <v>1278</v>
      </c>
    </row>
    <row r="27" spans="1:2">
      <c r="A27" s="91" t="s">
        <v>1265</v>
      </c>
      <c r="B27" s="91" t="s">
        <v>1271</v>
      </c>
    </row>
    <row r="28" spans="1:2">
      <c r="A28" s="91" t="s">
        <v>1266</v>
      </c>
      <c r="B28" s="91" t="s">
        <v>1271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AQ46"/>
  <sheetViews>
    <sheetView workbookViewId="0">
      <pane ySplit="600" activePane="bottomLeft"/>
      <selection pane="bottomLeft" activeCell="B2" sqref="B2"/>
    </sheetView>
  </sheetViews>
  <sheetFormatPr baseColWidth="10" defaultColWidth="5.42578125" defaultRowHeight="15"/>
  <cols>
    <col min="1" max="1" width="42.28515625" bestFit="1" customWidth="1"/>
    <col min="2" max="2" width="11.7109375" bestFit="1" customWidth="1"/>
    <col min="3" max="3" width="17.140625" bestFit="1" customWidth="1"/>
    <col min="4" max="4" width="17" bestFit="1" customWidth="1"/>
    <col min="5" max="5" width="14.7109375" bestFit="1" customWidth="1"/>
    <col min="6" max="6" width="11" bestFit="1" customWidth="1"/>
    <col min="7" max="7" width="11.5703125" bestFit="1" customWidth="1"/>
    <col min="8" max="8" width="11.7109375" bestFit="1" customWidth="1"/>
    <col min="9" max="9" width="19" bestFit="1" customWidth="1"/>
    <col min="10" max="10" width="11" bestFit="1" customWidth="1"/>
    <col min="11" max="11" width="7.28515625" bestFit="1" customWidth="1"/>
    <col min="12" max="12" width="8.85546875" bestFit="1" customWidth="1"/>
    <col min="13" max="13" width="13.42578125" bestFit="1" customWidth="1"/>
    <col min="14" max="14" width="5.42578125" bestFit="1" customWidth="1"/>
    <col min="15" max="15" width="26.140625" bestFit="1" customWidth="1"/>
    <col min="16" max="16" width="25.28515625" bestFit="1" customWidth="1"/>
    <col min="17" max="17" width="23" bestFit="1" customWidth="1"/>
    <col min="18" max="18" width="22.140625" bestFit="1" customWidth="1"/>
    <col min="19" max="19" width="35.85546875" bestFit="1" customWidth="1"/>
    <col min="20" max="20" width="36.28515625" bestFit="1" customWidth="1"/>
    <col min="21" max="21" width="35" bestFit="1" customWidth="1"/>
    <col min="22" max="22" width="22.28515625" bestFit="1" customWidth="1"/>
    <col min="23" max="23" width="21.42578125" bestFit="1" customWidth="1"/>
    <col min="24" max="24" width="31.85546875" bestFit="1" customWidth="1"/>
    <col min="25" max="25" width="32.28515625" bestFit="1" customWidth="1"/>
    <col min="26" max="26" width="27.85546875" bestFit="1" customWidth="1"/>
    <col min="27" max="27" width="31.140625" bestFit="1" customWidth="1"/>
    <col min="28" max="28" width="21.7109375" bestFit="1" customWidth="1"/>
    <col min="29" max="29" width="22" bestFit="1" customWidth="1"/>
    <col min="30" max="31" width="25.42578125" bestFit="1" customWidth="1"/>
    <col min="32" max="32" width="34" bestFit="1" customWidth="1"/>
    <col min="33" max="33" width="19.140625" bestFit="1" customWidth="1"/>
    <col min="34" max="34" width="13.7109375" bestFit="1" customWidth="1"/>
    <col min="35" max="35" width="13.85546875" bestFit="1" customWidth="1"/>
    <col min="36" max="36" width="33" bestFit="1" customWidth="1"/>
    <col min="37" max="37" width="25.5703125" bestFit="1" customWidth="1"/>
    <col min="38" max="38" width="24.7109375" bestFit="1" customWidth="1"/>
    <col min="39" max="39" width="34.5703125" bestFit="1" customWidth="1"/>
    <col min="40" max="40" width="30.85546875" bestFit="1" customWidth="1"/>
    <col min="41" max="41" width="24.5703125" bestFit="1" customWidth="1"/>
    <col min="42" max="42" width="24.28515625" bestFit="1" customWidth="1"/>
    <col min="43" max="43" width="16.28515625" bestFit="1" customWidth="1"/>
  </cols>
  <sheetData>
    <row r="1" spans="1:43">
      <c r="A1" s="134" t="s">
        <v>1527</v>
      </c>
      <c r="B1" s="92" t="s">
        <v>1389</v>
      </c>
      <c r="C1" s="92" t="s">
        <v>1390</v>
      </c>
      <c r="D1" s="92" t="s">
        <v>1391</v>
      </c>
      <c r="E1" s="92" t="s">
        <v>1392</v>
      </c>
      <c r="F1" s="92" t="s">
        <v>1393</v>
      </c>
      <c r="G1" s="92" t="s">
        <v>1394</v>
      </c>
      <c r="H1" s="92" t="s">
        <v>1395</v>
      </c>
      <c r="I1" s="92" t="s">
        <v>1396</v>
      </c>
      <c r="J1" s="92" t="s">
        <v>1397</v>
      </c>
      <c r="K1" s="92" t="s">
        <v>1398</v>
      </c>
      <c r="L1" s="92" t="s">
        <v>1399</v>
      </c>
      <c r="M1" s="92" t="s">
        <v>1400</v>
      </c>
      <c r="N1" s="16" t="s">
        <v>1469</v>
      </c>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row>
    <row r="2" spans="1:43">
      <c r="A2" s="8" t="s">
        <v>1290</v>
      </c>
      <c r="B2" s="39"/>
      <c r="C2" s="39"/>
      <c r="D2" s="39"/>
      <c r="E2" s="39"/>
      <c r="F2" s="39"/>
      <c r="G2" s="39"/>
      <c r="H2" s="39"/>
      <c r="I2" s="39"/>
      <c r="J2" s="39"/>
      <c r="K2" s="39"/>
      <c r="L2" s="39"/>
      <c r="M2" s="39"/>
      <c r="N2" s="39"/>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row>
    <row r="3" spans="1:43">
      <c r="A3" s="8" t="s">
        <v>324</v>
      </c>
      <c r="B3" s="39"/>
      <c r="C3" s="39"/>
      <c r="D3" s="39"/>
      <c r="E3" s="39"/>
      <c r="F3" s="39"/>
      <c r="G3" s="39"/>
      <c r="H3" s="39"/>
      <c r="I3" s="39"/>
      <c r="J3" s="39"/>
      <c r="K3" s="39"/>
      <c r="L3" s="39"/>
      <c r="M3" s="39"/>
      <c r="N3" s="39"/>
      <c r="O3" s="105"/>
      <c r="P3" s="105"/>
      <c r="Q3" s="105"/>
      <c r="R3" s="105"/>
      <c r="S3" s="105"/>
      <c r="T3" s="105"/>
      <c r="U3" s="105"/>
      <c r="V3" s="105"/>
      <c r="W3" s="105"/>
      <c r="X3" s="105"/>
      <c r="Y3" s="105"/>
      <c r="Z3" s="105"/>
      <c r="AA3" s="105"/>
      <c r="AB3" s="105"/>
      <c r="AC3" s="105"/>
      <c r="AD3" s="105"/>
      <c r="AE3" s="105"/>
      <c r="AF3" s="105"/>
      <c r="AG3" s="105"/>
      <c r="AH3" s="105"/>
      <c r="AI3" s="105"/>
      <c r="AJ3" s="105"/>
      <c r="AK3" s="105"/>
      <c r="AL3" s="105"/>
      <c r="AM3" s="105"/>
      <c r="AN3" s="105"/>
      <c r="AO3" s="105"/>
      <c r="AP3" s="105"/>
      <c r="AQ3" s="105"/>
    </row>
    <row r="4" spans="1:43">
      <c r="A4" s="8" t="s">
        <v>325</v>
      </c>
      <c r="B4" s="39"/>
      <c r="C4" s="39"/>
      <c r="D4" s="39"/>
      <c r="E4" s="39"/>
      <c r="F4" s="39"/>
      <c r="G4" s="39"/>
      <c r="H4" s="39"/>
      <c r="I4" s="39"/>
      <c r="J4" s="39"/>
      <c r="K4" s="39"/>
      <c r="L4" s="39"/>
      <c r="M4" s="39"/>
      <c r="N4" s="39"/>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row>
    <row r="5" spans="1:43">
      <c r="A5" s="8" t="s">
        <v>378</v>
      </c>
      <c r="B5" s="39"/>
      <c r="C5" s="39"/>
      <c r="D5" s="39"/>
      <c r="E5" s="39"/>
      <c r="F5" s="39"/>
      <c r="G5" s="39"/>
      <c r="H5" s="39"/>
      <c r="I5" s="39"/>
      <c r="J5" s="39"/>
      <c r="K5" s="39"/>
      <c r="L5" s="39"/>
      <c r="M5" s="39"/>
      <c r="N5" s="39"/>
      <c r="O5" s="105"/>
      <c r="P5" s="105"/>
      <c r="Q5" s="105"/>
      <c r="R5" s="105"/>
      <c r="S5" s="105"/>
      <c r="T5" s="105"/>
      <c r="U5" s="105"/>
      <c r="V5" s="105"/>
      <c r="W5" s="105"/>
      <c r="X5" s="105"/>
      <c r="Y5" s="105"/>
      <c r="Z5" s="105"/>
      <c r="AA5" s="105"/>
      <c r="AB5" s="105"/>
      <c r="AC5" s="105"/>
      <c r="AD5" s="105"/>
      <c r="AE5" s="105"/>
      <c r="AF5" s="105"/>
      <c r="AG5" s="105"/>
      <c r="AH5" s="105"/>
      <c r="AI5" s="105"/>
      <c r="AJ5" s="105"/>
      <c r="AK5" s="105"/>
      <c r="AL5" s="105"/>
      <c r="AM5" s="105"/>
      <c r="AN5" s="105"/>
      <c r="AO5" s="105"/>
      <c r="AP5" s="105"/>
      <c r="AQ5" s="105"/>
    </row>
    <row r="6" spans="1:43">
      <c r="A6" s="8" t="s">
        <v>379</v>
      </c>
      <c r="B6" s="39"/>
      <c r="C6" s="39"/>
      <c r="D6" s="39"/>
      <c r="E6" s="39"/>
      <c r="F6" s="39"/>
      <c r="G6" s="39"/>
      <c r="H6" s="39"/>
      <c r="I6" s="39"/>
      <c r="J6" s="39"/>
      <c r="K6" s="39"/>
      <c r="L6" s="39"/>
      <c r="M6" s="39"/>
      <c r="N6" s="39"/>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row>
    <row r="7" spans="1:43">
      <c r="A7" s="8" t="s">
        <v>380</v>
      </c>
      <c r="B7" s="39"/>
      <c r="C7" s="39"/>
      <c r="D7" s="39"/>
      <c r="E7" s="39"/>
      <c r="F7" s="39"/>
      <c r="G7" s="39"/>
      <c r="H7" s="39"/>
      <c r="I7" s="39"/>
      <c r="J7" s="39"/>
      <c r="K7" s="39"/>
      <c r="L7" s="39"/>
      <c r="M7" s="39"/>
      <c r="N7" s="39"/>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row>
    <row r="8" spans="1:43">
      <c r="A8" s="8" t="s">
        <v>394</v>
      </c>
      <c r="B8" s="39"/>
      <c r="C8" s="39"/>
      <c r="D8" s="39"/>
      <c r="E8" s="39"/>
      <c r="F8" s="39"/>
      <c r="G8" s="39"/>
      <c r="H8" s="39"/>
      <c r="I8" s="39"/>
      <c r="J8" s="39"/>
      <c r="K8" s="39"/>
      <c r="L8" s="39"/>
      <c r="M8" s="39"/>
      <c r="N8" s="39"/>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row>
    <row r="9" spans="1:43">
      <c r="A9" s="8" t="s">
        <v>395</v>
      </c>
      <c r="B9" s="39"/>
      <c r="C9" s="39"/>
      <c r="D9" s="39"/>
      <c r="E9" s="39"/>
      <c r="F9" s="39"/>
      <c r="G9" s="39"/>
      <c r="H9" s="39"/>
      <c r="I9" s="39"/>
      <c r="J9" s="39"/>
      <c r="K9" s="39"/>
      <c r="L9" s="39"/>
      <c r="M9" s="39"/>
      <c r="N9" s="39"/>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row>
    <row r="10" spans="1:43">
      <c r="A10" s="8" t="s">
        <v>396</v>
      </c>
      <c r="B10" s="39"/>
      <c r="C10" s="39"/>
      <c r="D10" s="39"/>
      <c r="E10" s="39"/>
      <c r="F10" s="39"/>
      <c r="G10" s="39"/>
      <c r="H10" s="39"/>
      <c r="I10" s="39"/>
      <c r="J10" s="39"/>
      <c r="K10" s="39"/>
      <c r="L10" s="39"/>
      <c r="M10" s="39"/>
      <c r="N10" s="39"/>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row>
    <row r="11" spans="1:43">
      <c r="A11" s="8" t="s">
        <v>409</v>
      </c>
      <c r="B11" s="39"/>
      <c r="C11" s="39"/>
      <c r="D11" s="39"/>
      <c r="E11" s="39"/>
      <c r="F11" s="39"/>
      <c r="G11" s="39"/>
      <c r="H11" s="39"/>
      <c r="I11" s="39"/>
      <c r="J11" s="39"/>
      <c r="K11" s="39"/>
      <c r="L11" s="39"/>
      <c r="M11" s="39"/>
      <c r="N11" s="39"/>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row>
    <row r="12" spans="1:43">
      <c r="A12" s="8" t="s">
        <v>410</v>
      </c>
      <c r="B12" s="39"/>
      <c r="C12" s="39"/>
      <c r="D12" s="39"/>
      <c r="E12" s="39"/>
      <c r="F12" s="39"/>
      <c r="G12" s="39"/>
      <c r="H12" s="39"/>
      <c r="I12" s="39"/>
      <c r="J12" s="39"/>
      <c r="K12" s="39"/>
      <c r="L12" s="39"/>
      <c r="M12" s="39"/>
      <c r="N12" s="39"/>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row>
    <row r="13" spans="1:43">
      <c r="A13" s="8" t="s">
        <v>411</v>
      </c>
      <c r="B13" s="39"/>
      <c r="C13" s="39"/>
      <c r="D13" s="39"/>
      <c r="E13" s="39"/>
      <c r="F13" s="39"/>
      <c r="G13" s="39"/>
      <c r="H13" s="39"/>
      <c r="I13" s="39"/>
      <c r="J13" s="39"/>
      <c r="K13" s="39"/>
      <c r="L13" s="39"/>
      <c r="M13" s="39"/>
      <c r="N13" s="39"/>
    </row>
    <row r="14" spans="1:43">
      <c r="A14" s="12" t="s">
        <v>415</v>
      </c>
      <c r="B14" s="39"/>
      <c r="C14" s="39"/>
      <c r="D14" s="39"/>
      <c r="E14" s="39"/>
      <c r="F14" s="39"/>
      <c r="G14" s="39"/>
      <c r="H14" s="39"/>
      <c r="I14" s="39"/>
      <c r="J14" s="39"/>
      <c r="K14" s="39"/>
      <c r="L14" s="39"/>
      <c r="M14" s="39"/>
      <c r="N14" s="39"/>
    </row>
    <row r="15" spans="1:43">
      <c r="A15" s="12" t="s">
        <v>416</v>
      </c>
      <c r="B15" s="39"/>
      <c r="C15" s="39"/>
      <c r="D15" s="39"/>
      <c r="E15" s="39"/>
      <c r="F15" s="39"/>
      <c r="G15" s="39"/>
      <c r="H15" s="39"/>
      <c r="I15" s="39"/>
      <c r="J15" s="39"/>
      <c r="K15" s="39"/>
      <c r="L15" s="39"/>
      <c r="M15" s="39"/>
      <c r="N15" s="39"/>
    </row>
    <row r="16" spans="1:43">
      <c r="A16" s="12" t="s">
        <v>417</v>
      </c>
      <c r="B16" s="39"/>
      <c r="C16" s="39"/>
      <c r="D16" s="39"/>
      <c r="E16" s="39"/>
      <c r="F16" s="39"/>
      <c r="G16" s="39"/>
      <c r="H16" s="39"/>
      <c r="I16" s="39"/>
      <c r="J16" s="39"/>
      <c r="K16" s="39"/>
      <c r="L16" s="39"/>
      <c r="M16" s="39"/>
      <c r="N16" s="39"/>
    </row>
    <row r="17" spans="1:14">
      <c r="A17" s="12" t="s">
        <v>429</v>
      </c>
      <c r="B17" s="39"/>
      <c r="C17" s="39"/>
      <c r="D17" s="39"/>
      <c r="E17" s="39"/>
      <c r="F17" s="39"/>
      <c r="G17" s="39"/>
      <c r="H17" s="39"/>
      <c r="I17" s="39"/>
      <c r="J17" s="39"/>
      <c r="K17" s="39"/>
      <c r="L17" s="39"/>
      <c r="M17" s="39"/>
      <c r="N17" s="39"/>
    </row>
    <row r="18" spans="1:14">
      <c r="A18" s="12" t="s">
        <v>430</v>
      </c>
      <c r="B18" s="39"/>
      <c r="C18" s="39"/>
      <c r="D18" s="39"/>
      <c r="E18" s="39"/>
      <c r="F18" s="39"/>
      <c r="G18" s="39"/>
      <c r="H18" s="39"/>
      <c r="I18" s="39"/>
      <c r="J18" s="39"/>
      <c r="K18" s="39"/>
      <c r="L18" s="39"/>
      <c r="M18" s="39"/>
      <c r="N18" s="39"/>
    </row>
    <row r="19" spans="1:14">
      <c r="A19" s="12" t="s">
        <v>431</v>
      </c>
      <c r="B19" s="39"/>
      <c r="C19" s="39"/>
      <c r="D19" s="39"/>
      <c r="E19" s="39"/>
      <c r="F19" s="39"/>
      <c r="G19" s="39"/>
      <c r="H19" s="39"/>
      <c r="I19" s="39"/>
      <c r="J19" s="39"/>
      <c r="K19" s="39"/>
      <c r="L19" s="39"/>
      <c r="M19" s="39"/>
      <c r="N19" s="39"/>
    </row>
    <row r="20" spans="1:14">
      <c r="A20" s="12" t="s">
        <v>443</v>
      </c>
      <c r="B20" s="39"/>
      <c r="C20" s="39"/>
      <c r="D20" s="39"/>
      <c r="E20" s="39"/>
      <c r="F20" s="39"/>
      <c r="G20" s="39"/>
      <c r="H20" s="39"/>
      <c r="I20" s="39"/>
      <c r="J20" s="39"/>
      <c r="K20" s="39"/>
      <c r="L20" s="39"/>
      <c r="M20" s="39"/>
      <c r="N20" s="39"/>
    </row>
    <row r="21" spans="1:14">
      <c r="A21" s="12" t="s">
        <v>444</v>
      </c>
      <c r="B21" s="39"/>
      <c r="C21" s="39"/>
      <c r="D21" s="39"/>
      <c r="E21" s="39"/>
      <c r="F21" s="39"/>
      <c r="G21" s="39"/>
      <c r="H21" s="39"/>
      <c r="I21" s="39"/>
      <c r="J21" s="39"/>
      <c r="K21" s="39"/>
      <c r="L21" s="39"/>
      <c r="M21" s="39"/>
      <c r="N21" s="39"/>
    </row>
    <row r="22" spans="1:14">
      <c r="A22" s="12" t="s">
        <v>445</v>
      </c>
      <c r="B22" s="39"/>
      <c r="C22" s="39"/>
      <c r="D22" s="39"/>
      <c r="E22" s="39"/>
      <c r="F22" s="39"/>
      <c r="G22" s="39"/>
      <c r="H22" s="39"/>
      <c r="I22" s="39"/>
      <c r="J22" s="39"/>
      <c r="K22" s="39"/>
      <c r="L22" s="39"/>
      <c r="M22" s="39"/>
      <c r="N22" s="39"/>
    </row>
    <row r="23" spans="1:14">
      <c r="A23" s="12" t="s">
        <v>453</v>
      </c>
      <c r="B23" s="39"/>
      <c r="C23" s="39"/>
      <c r="D23" s="39"/>
      <c r="E23" s="39"/>
      <c r="F23" s="39"/>
      <c r="G23" s="39"/>
      <c r="H23" s="39"/>
      <c r="I23" s="39"/>
      <c r="J23" s="39"/>
      <c r="K23" s="39"/>
      <c r="L23" s="39"/>
      <c r="M23" s="39"/>
      <c r="N23" s="39"/>
    </row>
    <row r="24" spans="1:14">
      <c r="A24" s="12" t="s">
        <v>454</v>
      </c>
      <c r="B24" s="39"/>
      <c r="C24" s="39"/>
      <c r="D24" s="39"/>
      <c r="E24" s="39"/>
      <c r="F24" s="39"/>
      <c r="G24" s="39"/>
      <c r="H24" s="39"/>
      <c r="I24" s="39"/>
      <c r="J24" s="39"/>
      <c r="K24" s="39"/>
      <c r="L24" s="39"/>
      <c r="M24" s="39"/>
      <c r="N24" s="39"/>
    </row>
    <row r="25" spans="1:14">
      <c r="A25" s="12" t="s">
        <v>455</v>
      </c>
      <c r="B25" s="39"/>
      <c r="C25" s="39"/>
      <c r="D25" s="39"/>
      <c r="E25" s="39"/>
      <c r="F25" s="39"/>
      <c r="G25" s="39"/>
      <c r="H25" s="39"/>
      <c r="I25" s="39"/>
      <c r="J25" s="39"/>
      <c r="K25" s="39"/>
      <c r="L25" s="39"/>
      <c r="M25" s="39"/>
      <c r="N25" s="39"/>
    </row>
    <row r="26" spans="1:14">
      <c r="A26" s="12" t="s">
        <v>460</v>
      </c>
      <c r="B26" s="39"/>
      <c r="C26" s="39"/>
      <c r="D26" s="39"/>
      <c r="E26" s="39"/>
      <c r="F26" s="39"/>
      <c r="G26" s="39"/>
      <c r="H26" s="39"/>
      <c r="I26" s="39"/>
      <c r="J26" s="39"/>
      <c r="K26" s="39"/>
      <c r="L26" s="39"/>
      <c r="M26" s="39"/>
      <c r="N26" s="39"/>
    </row>
    <row r="27" spans="1:14">
      <c r="A27" s="12" t="s">
        <v>461</v>
      </c>
      <c r="B27" s="39"/>
      <c r="C27" s="39"/>
      <c r="D27" s="39"/>
      <c r="E27" s="39"/>
      <c r="F27" s="39"/>
      <c r="G27" s="39"/>
      <c r="H27" s="39"/>
      <c r="I27" s="39"/>
      <c r="J27" s="39"/>
      <c r="K27" s="39"/>
      <c r="L27" s="39"/>
      <c r="M27" s="39"/>
      <c r="N27" s="39"/>
    </row>
    <row r="28" spans="1:14">
      <c r="A28" s="12" t="s">
        <v>462</v>
      </c>
      <c r="B28" s="39"/>
      <c r="C28" s="39"/>
      <c r="D28" s="39"/>
      <c r="E28" s="39"/>
      <c r="F28" s="39"/>
      <c r="G28" s="39"/>
      <c r="H28" s="39"/>
      <c r="I28" s="39"/>
      <c r="J28" s="39"/>
      <c r="K28" s="39"/>
      <c r="L28" s="39"/>
      <c r="M28" s="39"/>
      <c r="N28" s="39"/>
    </row>
    <row r="29" spans="1:14">
      <c r="A29" s="12" t="s">
        <v>471</v>
      </c>
      <c r="B29" s="39"/>
      <c r="C29" s="39"/>
      <c r="D29" s="39"/>
      <c r="E29" s="39"/>
      <c r="F29" s="39"/>
      <c r="G29" s="39"/>
      <c r="H29" s="39"/>
      <c r="I29" s="39"/>
      <c r="J29" s="39"/>
      <c r="K29" s="39"/>
      <c r="L29" s="39"/>
      <c r="M29" s="39"/>
      <c r="N29" s="39"/>
    </row>
    <row r="30" spans="1:14">
      <c r="A30" s="12" t="s">
        <v>472</v>
      </c>
      <c r="B30" s="39"/>
      <c r="C30" s="39"/>
      <c r="D30" s="39"/>
      <c r="E30" s="39"/>
      <c r="F30" s="39"/>
      <c r="G30" s="39"/>
      <c r="H30" s="39"/>
      <c r="I30" s="39"/>
      <c r="J30" s="39"/>
      <c r="K30" s="39"/>
      <c r="L30" s="39"/>
      <c r="M30" s="39"/>
      <c r="N30" s="39"/>
    </row>
    <row r="31" spans="1:14">
      <c r="A31" s="12" t="s">
        <v>473</v>
      </c>
      <c r="B31" s="39"/>
      <c r="C31" s="39"/>
      <c r="D31" s="39"/>
      <c r="E31" s="39"/>
      <c r="F31" s="39"/>
      <c r="G31" s="39"/>
      <c r="H31" s="39"/>
      <c r="I31" s="39"/>
      <c r="J31" s="39"/>
      <c r="K31" s="39"/>
      <c r="L31" s="39"/>
      <c r="M31" s="39"/>
      <c r="N31" s="39"/>
    </row>
    <row r="32" spans="1:14">
      <c r="A32" s="14" t="s">
        <v>483</v>
      </c>
      <c r="B32" s="39"/>
      <c r="C32" s="39"/>
      <c r="D32" s="39"/>
      <c r="E32" s="39"/>
      <c r="F32" s="39"/>
      <c r="G32" s="39"/>
      <c r="H32" s="39"/>
      <c r="I32" s="39"/>
      <c r="J32" s="39"/>
      <c r="K32" s="39"/>
      <c r="L32" s="39"/>
      <c r="M32" s="39"/>
      <c r="N32" s="39"/>
    </row>
    <row r="33" spans="1:14">
      <c r="A33" s="14" t="s">
        <v>484</v>
      </c>
      <c r="B33" s="39"/>
      <c r="C33" s="39"/>
      <c r="D33" s="39"/>
      <c r="E33" s="39"/>
      <c r="F33" s="39"/>
      <c r="G33" s="39"/>
      <c r="H33" s="39"/>
      <c r="I33" s="39"/>
      <c r="J33" s="39"/>
      <c r="K33" s="39"/>
      <c r="L33" s="39"/>
      <c r="M33" s="39"/>
      <c r="N33" s="39"/>
    </row>
    <row r="34" spans="1:14">
      <c r="A34" s="14" t="s">
        <v>485</v>
      </c>
      <c r="B34" s="39"/>
      <c r="C34" s="39"/>
      <c r="D34" s="39"/>
      <c r="E34" s="39"/>
      <c r="F34" s="39"/>
      <c r="G34" s="39"/>
      <c r="H34" s="39"/>
      <c r="I34" s="39"/>
      <c r="J34" s="39"/>
      <c r="K34" s="39"/>
      <c r="L34" s="39"/>
      <c r="M34" s="39"/>
      <c r="N34" s="39"/>
    </row>
    <row r="35" spans="1:14">
      <c r="A35" s="12" t="s">
        <v>492</v>
      </c>
      <c r="B35" s="39"/>
      <c r="C35" s="39"/>
      <c r="D35" s="39"/>
      <c r="E35" s="39"/>
      <c r="F35" s="39"/>
      <c r="G35" s="39"/>
      <c r="H35" s="39"/>
      <c r="I35" s="39"/>
      <c r="J35" s="39"/>
      <c r="K35" s="39"/>
      <c r="L35" s="39"/>
      <c r="M35" s="39"/>
      <c r="N35" s="39"/>
    </row>
    <row r="36" spans="1:14">
      <c r="A36" s="12" t="s">
        <v>493</v>
      </c>
      <c r="B36" s="39"/>
      <c r="C36" s="39"/>
      <c r="D36" s="39"/>
      <c r="E36" s="39"/>
      <c r="F36" s="39"/>
      <c r="G36" s="39"/>
      <c r="H36" s="39"/>
      <c r="I36" s="39"/>
      <c r="J36" s="39"/>
      <c r="K36" s="39"/>
      <c r="L36" s="39"/>
      <c r="M36" s="39"/>
      <c r="N36" s="39"/>
    </row>
    <row r="37" spans="1:14">
      <c r="A37" s="12" t="s">
        <v>494</v>
      </c>
      <c r="B37" s="39"/>
      <c r="C37" s="39"/>
      <c r="D37" s="39"/>
      <c r="E37" s="39"/>
      <c r="F37" s="39"/>
      <c r="G37" s="39"/>
      <c r="H37" s="39"/>
      <c r="I37" s="39"/>
      <c r="J37" s="39"/>
      <c r="K37" s="39"/>
      <c r="L37" s="39"/>
      <c r="M37" s="39"/>
      <c r="N37" s="39"/>
    </row>
    <row r="38" spans="1:14">
      <c r="A38" s="12" t="s">
        <v>499</v>
      </c>
      <c r="B38" s="39"/>
      <c r="C38" s="39"/>
      <c r="D38" s="39"/>
      <c r="E38" s="39"/>
      <c r="F38" s="39"/>
      <c r="G38" s="39"/>
      <c r="H38" s="39"/>
      <c r="I38" s="39"/>
      <c r="J38" s="39"/>
      <c r="K38" s="39"/>
      <c r="L38" s="39"/>
      <c r="M38" s="39"/>
      <c r="N38" s="39"/>
    </row>
    <row r="39" spans="1:14">
      <c r="A39" s="12" t="s">
        <v>500</v>
      </c>
      <c r="B39" s="39"/>
      <c r="C39" s="39"/>
      <c r="D39" s="39"/>
      <c r="E39" s="39"/>
      <c r="F39" s="39"/>
      <c r="G39" s="39"/>
      <c r="H39" s="39"/>
      <c r="I39" s="39"/>
      <c r="J39" s="39"/>
      <c r="K39" s="39"/>
      <c r="L39" s="39"/>
      <c r="M39" s="39"/>
      <c r="N39" s="39"/>
    </row>
    <row r="40" spans="1:14">
      <c r="A40" s="12" t="s">
        <v>501</v>
      </c>
      <c r="B40" s="39"/>
      <c r="C40" s="39"/>
      <c r="D40" s="39"/>
      <c r="E40" s="39"/>
      <c r="F40" s="39"/>
      <c r="G40" s="39"/>
      <c r="H40" s="39"/>
      <c r="I40" s="39"/>
      <c r="J40" s="39"/>
      <c r="K40" s="39"/>
      <c r="L40" s="39"/>
      <c r="M40" s="39"/>
      <c r="N40" s="39"/>
    </row>
    <row r="41" spans="1:14">
      <c r="A41" s="12" t="s">
        <v>511</v>
      </c>
      <c r="B41" s="39"/>
      <c r="C41" s="39"/>
      <c r="D41" s="39"/>
      <c r="E41" s="39"/>
      <c r="F41" s="39"/>
      <c r="G41" s="39"/>
      <c r="H41" s="39"/>
      <c r="I41" s="39"/>
      <c r="J41" s="39"/>
      <c r="K41" s="39"/>
      <c r="L41" s="39"/>
      <c r="M41" s="39"/>
      <c r="N41" s="39"/>
    </row>
    <row r="42" spans="1:14">
      <c r="A42" s="12" t="s">
        <v>512</v>
      </c>
      <c r="B42" s="39"/>
      <c r="C42" s="39"/>
      <c r="D42" s="39"/>
      <c r="E42" s="39"/>
      <c r="F42" s="39"/>
      <c r="G42" s="39"/>
      <c r="H42" s="39"/>
      <c r="I42" s="39"/>
      <c r="J42" s="39"/>
      <c r="K42" s="39"/>
      <c r="L42" s="39"/>
      <c r="M42" s="39"/>
      <c r="N42" s="39"/>
    </row>
    <row r="43" spans="1:14">
      <c r="A43" s="12" t="s">
        <v>513</v>
      </c>
      <c r="B43" s="39"/>
      <c r="C43" s="39"/>
      <c r="D43" s="39"/>
      <c r="E43" s="39"/>
      <c r="F43" s="39"/>
      <c r="G43" s="39"/>
      <c r="H43" s="39"/>
      <c r="I43" s="39"/>
      <c r="J43" s="39"/>
      <c r="K43" s="39"/>
      <c r="L43" s="39"/>
      <c r="M43" s="39"/>
      <c r="N43" s="39"/>
    </row>
    <row r="44" spans="1:14">
      <c r="A44" s="12" t="s">
        <v>519</v>
      </c>
      <c r="B44" s="39"/>
      <c r="C44" s="39"/>
      <c r="D44" s="39"/>
      <c r="E44" s="39"/>
      <c r="F44" s="39"/>
      <c r="G44" s="39"/>
      <c r="H44" s="39"/>
      <c r="I44" s="39"/>
      <c r="J44" s="39"/>
      <c r="K44" s="39"/>
      <c r="L44" s="39"/>
      <c r="M44" s="39"/>
      <c r="N44" s="39"/>
    </row>
    <row r="45" spans="1:14">
      <c r="A45" s="12" t="s">
        <v>520</v>
      </c>
      <c r="B45" s="39"/>
      <c r="C45" s="39"/>
      <c r="D45" s="39"/>
      <c r="E45" s="39"/>
      <c r="F45" s="39"/>
      <c r="G45" s="39"/>
      <c r="H45" s="39"/>
      <c r="I45" s="39"/>
      <c r="J45" s="39"/>
      <c r="K45" s="39"/>
      <c r="L45" s="39"/>
      <c r="M45" s="39"/>
      <c r="N45" s="39"/>
    </row>
    <row r="46" spans="1:14">
      <c r="A46" s="12" t="s">
        <v>521</v>
      </c>
      <c r="B46" s="39"/>
      <c r="C46" s="39"/>
      <c r="D46" s="39"/>
      <c r="E46" s="39"/>
      <c r="F46" s="39"/>
      <c r="G46" s="39"/>
      <c r="H46" s="39"/>
      <c r="I46" s="39"/>
      <c r="J46" s="39"/>
      <c r="K46" s="39"/>
      <c r="L46" s="39"/>
      <c r="M46" s="39"/>
      <c r="N46" s="3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28"/>
  <sheetViews>
    <sheetView workbookViewId="0">
      <selection activeCell="B1" sqref="B1:B28"/>
    </sheetView>
  </sheetViews>
  <sheetFormatPr baseColWidth="10" defaultRowHeight="15"/>
  <cols>
    <col min="1" max="1" width="14.5703125" bestFit="1" customWidth="1"/>
    <col min="2" max="2" width="15.28515625" bestFit="1" customWidth="1"/>
  </cols>
  <sheetData>
    <row r="1" spans="1:2">
      <c r="A1" s="1" t="s">
        <v>0</v>
      </c>
      <c r="B1" s="1" t="s">
        <v>2091</v>
      </c>
    </row>
    <row r="2" spans="1:2">
      <c r="A2" s="92" t="s">
        <v>3</v>
      </c>
      <c r="B2" s="92" t="s">
        <v>5</v>
      </c>
    </row>
    <row r="3" spans="1:2">
      <c r="A3" s="92" t="s">
        <v>1</v>
      </c>
      <c r="B3" s="92" t="s">
        <v>5</v>
      </c>
    </row>
    <row r="4" spans="1:2">
      <c r="A4" s="92" t="s">
        <v>2</v>
      </c>
      <c r="B4" s="92" t="s">
        <v>5</v>
      </c>
    </row>
    <row r="5" spans="1:2">
      <c r="A5" s="92" t="s">
        <v>78</v>
      </c>
      <c r="B5" s="92" t="s">
        <v>5</v>
      </c>
    </row>
    <row r="6" spans="1:2">
      <c r="A6" s="92" t="s">
        <v>79</v>
      </c>
      <c r="B6" s="92" t="s">
        <v>5</v>
      </c>
    </row>
    <row r="7" spans="1:2">
      <c r="A7" s="92" t="s">
        <v>1263</v>
      </c>
      <c r="B7" s="92" t="s">
        <v>5</v>
      </c>
    </row>
    <row r="8" spans="1:2">
      <c r="A8" s="92" t="s">
        <v>105</v>
      </c>
      <c r="B8" s="92" t="s">
        <v>5</v>
      </c>
    </row>
    <row r="9" spans="1:2">
      <c r="A9" s="92" t="s">
        <v>106</v>
      </c>
      <c r="B9" s="92" t="s">
        <v>5</v>
      </c>
    </row>
    <row r="10" spans="1:2">
      <c r="A10" s="92" t="s">
        <v>107</v>
      </c>
      <c r="B10" s="92" t="s">
        <v>5</v>
      </c>
    </row>
    <row r="11" spans="1:2">
      <c r="A11" s="92" t="s">
        <v>142</v>
      </c>
      <c r="B11" s="92" t="s">
        <v>5</v>
      </c>
    </row>
    <row r="12" spans="1:2">
      <c r="A12" s="92" t="s">
        <v>1264</v>
      </c>
      <c r="B12" s="92" t="s">
        <v>5</v>
      </c>
    </row>
    <row r="13" spans="1:2">
      <c r="A13" s="92" t="s">
        <v>144</v>
      </c>
      <c r="B13" s="92" t="s">
        <v>5</v>
      </c>
    </row>
    <row r="14" spans="1:2">
      <c r="A14" s="91" t="s">
        <v>171</v>
      </c>
      <c r="B14" s="91" t="s">
        <v>41</v>
      </c>
    </row>
    <row r="15" spans="1:2">
      <c r="A15" s="92" t="s">
        <v>172</v>
      </c>
      <c r="B15" s="92" t="s">
        <v>5</v>
      </c>
    </row>
    <row r="16" spans="1:2">
      <c r="A16" s="92" t="s">
        <v>173</v>
      </c>
      <c r="B16" s="92" t="s">
        <v>5</v>
      </c>
    </row>
    <row r="17" spans="1:2">
      <c r="A17" s="92" t="s">
        <v>197</v>
      </c>
      <c r="B17" s="92" t="s">
        <v>5</v>
      </c>
    </row>
    <row r="18" spans="1:2">
      <c r="A18" s="91" t="s">
        <v>199</v>
      </c>
      <c r="B18" s="91" t="s">
        <v>41</v>
      </c>
    </row>
    <row r="19" spans="1:2">
      <c r="A19" s="91" t="s">
        <v>198</v>
      </c>
      <c r="B19" s="107" t="s">
        <v>41</v>
      </c>
    </row>
    <row r="20" spans="1:2">
      <c r="A20" s="92" t="s">
        <v>229</v>
      </c>
      <c r="B20" s="92" t="s">
        <v>5</v>
      </c>
    </row>
    <row r="21" spans="1:2">
      <c r="A21" s="92" t="s">
        <v>230</v>
      </c>
      <c r="B21" s="92" t="s">
        <v>5</v>
      </c>
    </row>
    <row r="22" spans="1:2">
      <c r="A22" s="91" t="s">
        <v>231</v>
      </c>
      <c r="B22" s="91" t="s">
        <v>41</v>
      </c>
    </row>
    <row r="23" spans="1:2">
      <c r="A23" s="92" t="s">
        <v>264</v>
      </c>
      <c r="B23" s="92" t="s">
        <v>5</v>
      </c>
    </row>
    <row r="24" spans="1:2">
      <c r="A24" s="92" t="s">
        <v>265</v>
      </c>
      <c r="B24" s="92" t="s">
        <v>5</v>
      </c>
    </row>
    <row r="25" spans="1:2">
      <c r="A25" s="92" t="s">
        <v>266</v>
      </c>
      <c r="B25" s="92" t="s">
        <v>5</v>
      </c>
    </row>
    <row r="26" spans="1:2">
      <c r="A26" s="91" t="s">
        <v>302</v>
      </c>
      <c r="B26" s="91" t="s">
        <v>41</v>
      </c>
    </row>
    <row r="27" spans="1:2">
      <c r="A27" s="92" t="s">
        <v>1265</v>
      </c>
      <c r="B27" s="92" t="s">
        <v>5</v>
      </c>
    </row>
    <row r="28" spans="1:2">
      <c r="A28" s="92" t="s">
        <v>1266</v>
      </c>
      <c r="B28" s="92" t="s">
        <v>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dimension ref="A1:B28"/>
  <sheetViews>
    <sheetView topLeftCell="A4" workbookViewId="0">
      <selection activeCell="B26" sqref="B26"/>
    </sheetView>
  </sheetViews>
  <sheetFormatPr baseColWidth="10" defaultRowHeight="15"/>
  <cols>
    <col min="1" max="1" width="19.140625" bestFit="1" customWidth="1"/>
    <col min="2" max="2" width="105.5703125" bestFit="1" customWidth="1"/>
  </cols>
  <sheetData>
    <row r="1" spans="1:2">
      <c r="A1" s="1" t="s">
        <v>0</v>
      </c>
      <c r="B1" s="1" t="s">
        <v>1457</v>
      </c>
    </row>
    <row r="2" spans="1:2">
      <c r="A2" s="94" t="s">
        <v>3</v>
      </c>
      <c r="B2" s="113">
        <f>100</f>
        <v>100</v>
      </c>
    </row>
    <row r="3" spans="1:2">
      <c r="A3" s="94" t="s">
        <v>1</v>
      </c>
      <c r="B3" s="94" t="s">
        <v>1374</v>
      </c>
    </row>
    <row r="4" spans="1:2">
      <c r="A4" s="94" t="s">
        <v>2</v>
      </c>
      <c r="B4" s="94" t="s">
        <v>1375</v>
      </c>
    </row>
    <row r="5" spans="1:2">
      <c r="A5" s="94" t="s">
        <v>78</v>
      </c>
      <c r="B5" s="94" t="s">
        <v>1376</v>
      </c>
    </row>
    <row r="6" spans="1:2">
      <c r="A6" s="94" t="s">
        <v>79</v>
      </c>
      <c r="B6" s="94" t="s">
        <v>1377</v>
      </c>
    </row>
    <row r="7" spans="1:2">
      <c r="A7" s="94" t="s">
        <v>80</v>
      </c>
      <c r="B7" s="108" t="s">
        <v>1456</v>
      </c>
    </row>
    <row r="8" spans="1:2">
      <c r="A8" s="94" t="s">
        <v>105</v>
      </c>
      <c r="B8" s="94" t="s">
        <v>1455</v>
      </c>
    </row>
    <row r="9" spans="1:2">
      <c r="A9" s="94" t="s">
        <v>106</v>
      </c>
      <c r="B9" s="108" t="s">
        <v>1456</v>
      </c>
    </row>
    <row r="10" spans="1:2">
      <c r="A10" s="94" t="s">
        <v>107</v>
      </c>
      <c r="B10" s="94" t="s">
        <v>1456</v>
      </c>
    </row>
    <row r="11" spans="1:2">
      <c r="A11" s="94" t="s">
        <v>142</v>
      </c>
      <c r="B11" s="94" t="s">
        <v>1456</v>
      </c>
    </row>
    <row r="12" spans="1:2">
      <c r="A12" s="94" t="s">
        <v>1264</v>
      </c>
      <c r="B12" s="94" t="s">
        <v>1456</v>
      </c>
    </row>
    <row r="13" spans="1:2">
      <c r="A13" s="94" t="s">
        <v>144</v>
      </c>
      <c r="B13" s="94" t="s">
        <v>1456</v>
      </c>
    </row>
    <row r="14" spans="1:2">
      <c r="A14" s="109" t="s">
        <v>171</v>
      </c>
      <c r="B14" s="109" t="s">
        <v>1456</v>
      </c>
    </row>
    <row r="15" spans="1:2">
      <c r="A15" s="94" t="s">
        <v>172</v>
      </c>
      <c r="B15" s="109" t="s">
        <v>1456</v>
      </c>
    </row>
    <row r="16" spans="1:2">
      <c r="A16" s="94" t="s">
        <v>173</v>
      </c>
      <c r="B16" s="109" t="s">
        <v>1456</v>
      </c>
    </row>
    <row r="17" spans="1:2">
      <c r="A17" s="94" t="s">
        <v>197</v>
      </c>
      <c r="B17" s="109" t="s">
        <v>1456</v>
      </c>
    </row>
    <row r="18" spans="1:2">
      <c r="A18" s="94" t="s">
        <v>199</v>
      </c>
      <c r="B18" s="109" t="s">
        <v>1456</v>
      </c>
    </row>
    <row r="19" spans="1:2">
      <c r="A19" s="94" t="s">
        <v>198</v>
      </c>
      <c r="B19" s="109" t="s">
        <v>1456</v>
      </c>
    </row>
    <row r="20" spans="1:2">
      <c r="A20" s="94" t="s">
        <v>229</v>
      </c>
      <c r="B20" s="135">
        <v>0.05</v>
      </c>
    </row>
    <row r="21" spans="1:2">
      <c r="A21" s="94" t="s">
        <v>230</v>
      </c>
      <c r="B21" s="94" t="s">
        <v>1458</v>
      </c>
    </row>
    <row r="22" spans="1:2">
      <c r="A22" s="94" t="s">
        <v>231</v>
      </c>
      <c r="B22" s="94" t="s">
        <v>1459</v>
      </c>
    </row>
    <row r="23" spans="1:2">
      <c r="A23" s="94" t="s">
        <v>264</v>
      </c>
      <c r="B23" s="94" t="s">
        <v>1456</v>
      </c>
    </row>
    <row r="24" spans="1:2">
      <c r="A24" s="94" t="s">
        <v>265</v>
      </c>
      <c r="B24" s="94" t="s">
        <v>1460</v>
      </c>
    </row>
    <row r="25" spans="1:2">
      <c r="A25" s="94" t="s">
        <v>266</v>
      </c>
      <c r="B25" s="94" t="s">
        <v>1456</v>
      </c>
    </row>
    <row r="26" spans="1:2">
      <c r="A26" s="94" t="s">
        <v>302</v>
      </c>
      <c r="B26" s="94" t="s">
        <v>1461</v>
      </c>
    </row>
    <row r="27" spans="1:2">
      <c r="A27" s="94" t="s">
        <v>1265</v>
      </c>
      <c r="B27" s="94" t="s">
        <v>1462</v>
      </c>
    </row>
    <row r="28" spans="1:2">
      <c r="A28" s="94" t="s">
        <v>1266</v>
      </c>
      <c r="B28" s="94" t="s">
        <v>1462</v>
      </c>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dimension ref="A1:D28"/>
  <sheetViews>
    <sheetView workbookViewId="0">
      <selection activeCell="C26" sqref="C26"/>
    </sheetView>
  </sheetViews>
  <sheetFormatPr baseColWidth="10" defaultRowHeight="15"/>
  <cols>
    <col min="1" max="1" width="14.5703125" bestFit="1" customWidth="1"/>
    <col min="2" max="2" width="43" bestFit="1" customWidth="1"/>
    <col min="3" max="3" width="28.7109375" bestFit="1" customWidth="1"/>
    <col min="4" max="4" width="12.42578125" bestFit="1" customWidth="1"/>
  </cols>
  <sheetData>
    <row r="1" spans="1:4">
      <c r="A1" s="1" t="s">
        <v>0</v>
      </c>
      <c r="B1" s="1" t="s">
        <v>1313</v>
      </c>
      <c r="C1" s="1" t="s">
        <v>2069</v>
      </c>
      <c r="D1" s="1" t="s">
        <v>1373</v>
      </c>
    </row>
    <row r="2" spans="1:4">
      <c r="A2" s="94" t="s">
        <v>3</v>
      </c>
      <c r="B2" s="94" t="s">
        <v>1466</v>
      </c>
      <c r="C2" s="39">
        <f>20</f>
        <v>20</v>
      </c>
      <c r="D2" s="94"/>
    </row>
    <row r="3" spans="1:4">
      <c r="A3" s="94" t="s">
        <v>1</v>
      </c>
      <c r="B3" s="94" t="s">
        <v>1466</v>
      </c>
      <c r="C3" s="39">
        <f>20</f>
        <v>20</v>
      </c>
      <c r="D3" s="94"/>
    </row>
    <row r="4" spans="1:4">
      <c r="A4" s="94" t="s">
        <v>2</v>
      </c>
      <c r="B4" s="94" t="s">
        <v>1557</v>
      </c>
      <c r="C4" s="39">
        <f>16</f>
        <v>16</v>
      </c>
      <c r="D4" s="94"/>
    </row>
    <row r="5" spans="1:4">
      <c r="A5" s="94" t="s">
        <v>78</v>
      </c>
      <c r="B5" s="94" t="s">
        <v>1558</v>
      </c>
      <c r="C5" s="39">
        <f>1</f>
        <v>1</v>
      </c>
      <c r="D5" s="94"/>
    </row>
    <row r="6" spans="1:4">
      <c r="A6" s="94" t="s">
        <v>79</v>
      </c>
      <c r="B6" s="94" t="s">
        <v>1466</v>
      </c>
      <c r="C6" s="39">
        <f>20</f>
        <v>20</v>
      </c>
      <c r="D6" s="94"/>
    </row>
    <row r="7" spans="1:4">
      <c r="A7" s="94" t="s">
        <v>1263</v>
      </c>
      <c r="B7" s="94" t="s">
        <v>1466</v>
      </c>
      <c r="C7" s="39">
        <f>20</f>
        <v>20</v>
      </c>
      <c r="D7" s="94"/>
    </row>
    <row r="8" spans="1:4">
      <c r="A8" s="94" t="s">
        <v>105</v>
      </c>
      <c r="B8" s="94" t="s">
        <v>1560</v>
      </c>
      <c r="C8" s="39">
        <f>9</f>
        <v>9</v>
      </c>
      <c r="D8" s="94"/>
    </row>
    <row r="9" spans="1:4">
      <c r="A9" s="94" t="s">
        <v>106</v>
      </c>
      <c r="B9" s="94" t="s">
        <v>1561</v>
      </c>
      <c r="C9" s="39">
        <f>2</f>
        <v>2</v>
      </c>
      <c r="D9" s="94"/>
    </row>
    <row r="10" spans="1:4">
      <c r="A10" s="94" t="s">
        <v>107</v>
      </c>
      <c r="B10" s="94" t="s">
        <v>1562</v>
      </c>
      <c r="C10" s="39">
        <f>3</f>
        <v>3</v>
      </c>
      <c r="D10" s="94"/>
    </row>
    <row r="11" spans="1:4">
      <c r="A11" s="94" t="s">
        <v>142</v>
      </c>
      <c r="B11" s="94" t="s">
        <v>1563</v>
      </c>
      <c r="C11" s="39">
        <f>0</f>
        <v>0</v>
      </c>
      <c r="D11" s="94"/>
    </row>
    <row r="12" spans="1:4">
      <c r="A12" s="94" t="s">
        <v>1264</v>
      </c>
      <c r="B12" s="94" t="s">
        <v>1564</v>
      </c>
      <c r="C12" s="39">
        <f>6</f>
        <v>6</v>
      </c>
      <c r="D12" s="94"/>
    </row>
    <row r="13" spans="1:4">
      <c r="A13" s="94" t="s">
        <v>144</v>
      </c>
      <c r="B13" s="94" t="s">
        <v>1565</v>
      </c>
      <c r="C13" s="39">
        <f>7</f>
        <v>7</v>
      </c>
      <c r="D13" s="94"/>
    </row>
    <row r="14" spans="1:4">
      <c r="A14" s="109" t="s">
        <v>171</v>
      </c>
      <c r="B14" s="94" t="s">
        <v>1566</v>
      </c>
      <c r="C14" s="39">
        <f>5</f>
        <v>5</v>
      </c>
      <c r="D14" s="94"/>
    </row>
    <row r="15" spans="1:4">
      <c r="A15" s="94" t="s">
        <v>172</v>
      </c>
      <c r="B15" s="94" t="s">
        <v>1456</v>
      </c>
      <c r="C15" s="39" t="s">
        <v>2070</v>
      </c>
      <c r="D15" s="94"/>
    </row>
    <row r="16" spans="1:4">
      <c r="A16" s="94" t="s">
        <v>173</v>
      </c>
      <c r="B16" s="94" t="s">
        <v>1566</v>
      </c>
      <c r="C16" s="39">
        <f>5</f>
        <v>5</v>
      </c>
      <c r="D16" s="94"/>
    </row>
    <row r="17" spans="1:4">
      <c r="A17" s="94" t="s">
        <v>197</v>
      </c>
      <c r="B17" s="94" t="s">
        <v>1566</v>
      </c>
      <c r="C17" s="39">
        <f>5</f>
        <v>5</v>
      </c>
      <c r="D17" s="94"/>
    </row>
    <row r="18" spans="1:4">
      <c r="A18" s="94" t="s">
        <v>199</v>
      </c>
      <c r="B18" s="94" t="s">
        <v>1566</v>
      </c>
      <c r="C18" s="39">
        <f>5</f>
        <v>5</v>
      </c>
      <c r="D18" s="94"/>
    </row>
    <row r="19" spans="1:4">
      <c r="A19" s="94" t="s">
        <v>198</v>
      </c>
      <c r="B19" s="94" t="s">
        <v>1565</v>
      </c>
      <c r="C19" s="39">
        <f>7</f>
        <v>7</v>
      </c>
      <c r="D19" s="94"/>
    </row>
    <row r="20" spans="1:4">
      <c r="A20" s="94" t="s">
        <v>229</v>
      </c>
      <c r="B20" s="94" t="s">
        <v>1558</v>
      </c>
      <c r="C20" s="39">
        <f>1</f>
        <v>1</v>
      </c>
      <c r="D20" s="94"/>
    </row>
    <row r="21" spans="1:4">
      <c r="A21" s="94" t="s">
        <v>230</v>
      </c>
      <c r="B21" s="94" t="s">
        <v>1456</v>
      </c>
      <c r="C21" s="39" t="s">
        <v>2070</v>
      </c>
      <c r="D21" s="39"/>
    </row>
    <row r="22" spans="1:4">
      <c r="A22" s="94" t="s">
        <v>231</v>
      </c>
      <c r="B22" s="94" t="s">
        <v>1566</v>
      </c>
      <c r="C22" s="39">
        <f>5</f>
        <v>5</v>
      </c>
      <c r="D22" s="94"/>
    </row>
    <row r="23" spans="1:4">
      <c r="A23" s="94" t="s">
        <v>264</v>
      </c>
      <c r="B23" s="94" t="s">
        <v>1558</v>
      </c>
      <c r="C23" s="39">
        <f>1</f>
        <v>1</v>
      </c>
      <c r="D23" s="94"/>
    </row>
    <row r="24" spans="1:4">
      <c r="A24" s="94" t="s">
        <v>265</v>
      </c>
      <c r="B24" s="94" t="s">
        <v>1456</v>
      </c>
      <c r="C24" s="39" t="s">
        <v>2070</v>
      </c>
      <c r="D24" s="94"/>
    </row>
    <row r="25" spans="1:4">
      <c r="A25" s="94" t="s">
        <v>266</v>
      </c>
      <c r="B25" s="94" t="s">
        <v>1567</v>
      </c>
      <c r="C25" s="39" t="s">
        <v>2071</v>
      </c>
      <c r="D25" s="94"/>
    </row>
    <row r="26" spans="1:4">
      <c r="A26" s="94" t="s">
        <v>302</v>
      </c>
      <c r="B26" s="94" t="s">
        <v>1566</v>
      </c>
      <c r="C26" s="39">
        <f>5</f>
        <v>5</v>
      </c>
      <c r="D26" s="94"/>
    </row>
    <row r="27" spans="1:4">
      <c r="A27" s="94" t="s">
        <v>1265</v>
      </c>
      <c r="B27" s="94" t="s">
        <v>1568</v>
      </c>
      <c r="C27" s="39" t="s">
        <v>2070</v>
      </c>
      <c r="D27" s="94"/>
    </row>
    <row r="28" spans="1:4">
      <c r="A28" s="94" t="s">
        <v>1266</v>
      </c>
      <c r="B28" s="94" t="s">
        <v>1456</v>
      </c>
      <c r="C28" s="39" t="s">
        <v>2070</v>
      </c>
      <c r="D28" s="94"/>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28"/>
  <sheetViews>
    <sheetView workbookViewId="0">
      <selection activeCell="B23" sqref="B23"/>
    </sheetView>
  </sheetViews>
  <sheetFormatPr baseColWidth="10" defaultRowHeight="15"/>
  <cols>
    <col min="1" max="1" width="14.5703125" bestFit="1" customWidth="1"/>
    <col min="2" max="2" width="17.5703125" bestFit="1" customWidth="1"/>
  </cols>
  <sheetData>
    <row r="1" spans="1:2">
      <c r="A1" s="1" t="s">
        <v>0</v>
      </c>
      <c r="B1" s="1" t="s">
        <v>1312</v>
      </c>
    </row>
    <row r="2" spans="1:2">
      <c r="A2" s="94" t="s">
        <v>3</v>
      </c>
      <c r="B2" s="111">
        <f>467.6</f>
        <v>467.6</v>
      </c>
    </row>
    <row r="3" spans="1:2">
      <c r="A3" s="94" t="s">
        <v>1</v>
      </c>
      <c r="B3" s="111">
        <f>13878</f>
        <v>13878</v>
      </c>
    </row>
    <row r="4" spans="1:2">
      <c r="A4" s="94" t="s">
        <v>2</v>
      </c>
      <c r="B4" s="111">
        <f>431</f>
        <v>431</v>
      </c>
    </row>
    <row r="5" spans="1:2">
      <c r="A5" s="94" t="s">
        <v>78</v>
      </c>
      <c r="B5" s="111">
        <f>22966</f>
        <v>22966</v>
      </c>
    </row>
    <row r="6" spans="1:2">
      <c r="A6" s="94" t="s">
        <v>79</v>
      </c>
      <c r="B6" s="111">
        <f>53.2</f>
        <v>53.2</v>
      </c>
    </row>
    <row r="7" spans="1:2">
      <c r="A7" s="94" t="s">
        <v>1263</v>
      </c>
      <c r="B7" s="111">
        <f>153</f>
        <v>153</v>
      </c>
    </row>
    <row r="8" spans="1:2">
      <c r="A8" s="94" t="s">
        <v>105</v>
      </c>
      <c r="B8" s="111">
        <f>264</f>
        <v>264</v>
      </c>
    </row>
    <row r="9" spans="1:2">
      <c r="A9" s="94" t="s">
        <v>106</v>
      </c>
      <c r="B9" s="111">
        <f>9251</f>
        <v>9251</v>
      </c>
    </row>
    <row r="10" spans="1:2">
      <c r="A10" s="94" t="s">
        <v>107</v>
      </c>
      <c r="B10" s="111">
        <f>1.01*10^(6)</f>
        <v>1010000</v>
      </c>
    </row>
    <row r="11" spans="1:2">
      <c r="A11" s="94" t="s">
        <v>142</v>
      </c>
      <c r="B11" s="111">
        <f>6.8</f>
        <v>6.8</v>
      </c>
    </row>
    <row r="12" spans="1:2">
      <c r="A12" s="94" t="s">
        <v>1264</v>
      </c>
      <c r="B12" s="111">
        <f>65</f>
        <v>65</v>
      </c>
    </row>
    <row r="13" spans="1:2">
      <c r="A13" s="94" t="s">
        <v>144</v>
      </c>
      <c r="B13" s="111">
        <f>2754</f>
        <v>2754</v>
      </c>
    </row>
    <row r="14" spans="1:2">
      <c r="A14" s="94" t="s">
        <v>171</v>
      </c>
      <c r="B14" s="111">
        <f>84421</f>
        <v>84421</v>
      </c>
    </row>
    <row r="15" spans="1:2">
      <c r="A15" s="94" t="s">
        <v>172</v>
      </c>
      <c r="B15" s="111">
        <f>572</f>
        <v>572</v>
      </c>
    </row>
    <row r="16" spans="1:2">
      <c r="A16" s="94" t="s">
        <v>173</v>
      </c>
      <c r="B16" s="111">
        <f>119.5</f>
        <v>119.5</v>
      </c>
    </row>
    <row r="17" spans="1:2">
      <c r="A17" s="94" t="s">
        <v>197</v>
      </c>
      <c r="B17" s="111">
        <f>160</f>
        <v>160</v>
      </c>
    </row>
    <row r="18" spans="1:2">
      <c r="A18" s="94" t="s">
        <v>199</v>
      </c>
      <c r="B18" s="111">
        <f>65300</f>
        <v>65300</v>
      </c>
    </row>
    <row r="19" spans="1:2">
      <c r="A19" s="94" t="s">
        <v>198</v>
      </c>
      <c r="B19" s="112">
        <f>2586</f>
        <v>2586</v>
      </c>
    </row>
    <row r="20" spans="1:2">
      <c r="A20" s="94" t="s">
        <v>229</v>
      </c>
      <c r="B20" s="111">
        <f>316</f>
        <v>316</v>
      </c>
    </row>
    <row r="21" spans="1:2">
      <c r="A21" s="94" t="s">
        <v>230</v>
      </c>
      <c r="B21" s="111">
        <f>2040</f>
        <v>2040</v>
      </c>
    </row>
    <row r="22" spans="1:2">
      <c r="A22" s="94" t="s">
        <v>231</v>
      </c>
      <c r="B22" s="111">
        <f>41543</f>
        <v>41543</v>
      </c>
    </row>
    <row r="23" spans="1:2">
      <c r="A23" s="94" t="s">
        <v>264</v>
      </c>
      <c r="B23" s="111">
        <f>74177</f>
        <v>74177</v>
      </c>
    </row>
    <row r="24" spans="1:2">
      <c r="A24" s="94" t="s">
        <v>265</v>
      </c>
      <c r="B24" s="111">
        <f>459</f>
        <v>459</v>
      </c>
    </row>
    <row r="25" spans="1:2">
      <c r="A25" s="94" t="s">
        <v>266</v>
      </c>
      <c r="B25" s="111">
        <f>719.9</f>
        <v>719.9</v>
      </c>
    </row>
    <row r="26" spans="1:2">
      <c r="A26" s="94" t="s">
        <v>302</v>
      </c>
      <c r="B26" s="111">
        <f>41285</f>
        <v>41285</v>
      </c>
    </row>
    <row r="27" spans="1:2">
      <c r="A27" s="94" t="s">
        <v>1265</v>
      </c>
      <c r="B27" s="111">
        <f>4114</f>
        <v>4114</v>
      </c>
    </row>
    <row r="28" spans="1:2">
      <c r="A28" s="94" t="s">
        <v>1266</v>
      </c>
      <c r="B28" s="111">
        <f>2486</f>
        <v>2486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C28"/>
  <sheetViews>
    <sheetView workbookViewId="0">
      <selection activeCell="C26" sqref="C26"/>
    </sheetView>
  </sheetViews>
  <sheetFormatPr baseColWidth="10" defaultRowHeight="15"/>
  <cols>
    <col min="1" max="1" width="19.140625" bestFit="1" customWidth="1"/>
    <col min="2" max="2" width="41.42578125" bestFit="1" customWidth="1"/>
    <col min="3" max="3" width="40" bestFit="1" customWidth="1"/>
  </cols>
  <sheetData>
    <row r="1" spans="1:3">
      <c r="A1" s="1" t="s">
        <v>0</v>
      </c>
      <c r="B1" s="1" t="s">
        <v>1383</v>
      </c>
      <c r="C1" s="1" t="s">
        <v>1384</v>
      </c>
    </row>
    <row r="2" spans="1:3">
      <c r="A2" s="94" t="s">
        <v>3</v>
      </c>
      <c r="B2" s="113">
        <f>2915</f>
        <v>2915</v>
      </c>
      <c r="C2" s="113">
        <f>2915</f>
        <v>2915</v>
      </c>
    </row>
    <row r="3" spans="1:3">
      <c r="A3" s="94" t="s">
        <v>1</v>
      </c>
      <c r="B3" s="116">
        <f>1237.85</f>
        <v>1237.8499999999999</v>
      </c>
      <c r="C3" s="113">
        <f>1057.74</f>
        <v>1057.74</v>
      </c>
    </row>
    <row r="4" spans="1:3">
      <c r="A4" s="94" t="s">
        <v>2</v>
      </c>
      <c r="B4" s="116">
        <f>2739</f>
        <v>2739</v>
      </c>
      <c r="C4" s="113">
        <f>2340.46</f>
        <v>2340.46</v>
      </c>
    </row>
    <row r="5" spans="1:3">
      <c r="A5" s="94" t="s">
        <v>78</v>
      </c>
      <c r="B5" s="116">
        <f>2322</f>
        <v>2322</v>
      </c>
      <c r="C5" s="113">
        <f>1984.14</f>
        <v>1984.14</v>
      </c>
    </row>
    <row r="6" spans="1:3">
      <c r="A6" s="94" t="s">
        <v>79</v>
      </c>
      <c r="B6" s="116">
        <f>7056</f>
        <v>7056</v>
      </c>
      <c r="C6" s="113">
        <f>6029.32</f>
        <v>6029.32</v>
      </c>
    </row>
    <row r="7" spans="1:3">
      <c r="A7" s="94" t="s">
        <v>80</v>
      </c>
      <c r="B7" s="116">
        <f>6469</f>
        <v>6469</v>
      </c>
      <c r="C7" s="113">
        <f>5527.73</f>
        <v>5527.73</v>
      </c>
    </row>
    <row r="8" spans="1:3">
      <c r="A8" s="94" t="s">
        <v>105</v>
      </c>
      <c r="B8" s="116">
        <f>4163</f>
        <v>4163</v>
      </c>
      <c r="C8" s="113">
        <f>3557.26</f>
        <v>3557.26</v>
      </c>
    </row>
    <row r="9" spans="1:3">
      <c r="A9" s="94" t="s">
        <v>106</v>
      </c>
      <c r="B9" s="113">
        <f>1536</f>
        <v>1536</v>
      </c>
      <c r="C9" s="113">
        <f>1536</f>
        <v>1536</v>
      </c>
    </row>
    <row r="10" spans="1:3">
      <c r="A10" s="94" t="s">
        <v>107</v>
      </c>
      <c r="B10" s="116">
        <f>831</f>
        <v>831</v>
      </c>
      <c r="C10" s="113">
        <f>710.09</f>
        <v>710.09</v>
      </c>
    </row>
    <row r="11" spans="1:3">
      <c r="A11" s="94" t="s">
        <v>142</v>
      </c>
      <c r="B11" s="133">
        <f>5500</f>
        <v>5500</v>
      </c>
      <c r="C11" s="113">
        <f>6078.78</f>
        <v>6078.78</v>
      </c>
    </row>
    <row r="12" spans="1:3">
      <c r="A12" s="94" t="s">
        <v>1264</v>
      </c>
      <c r="B12" s="133">
        <f>2727</f>
        <v>2727</v>
      </c>
      <c r="C12" s="113">
        <f>3013.97</f>
        <v>3013.97</v>
      </c>
    </row>
    <row r="13" spans="1:3">
      <c r="A13" s="94" t="s">
        <v>144</v>
      </c>
      <c r="B13" s="116">
        <f xml:space="preserve"> 28570</f>
        <v>28570</v>
      </c>
      <c r="C13" s="113">
        <f>24502.57</f>
        <v>24502.57</v>
      </c>
    </row>
    <row r="14" spans="1:3">
      <c r="A14" s="94" t="s">
        <v>171</v>
      </c>
      <c r="B14" s="113">
        <f>5500</f>
        <v>5500</v>
      </c>
      <c r="C14" s="113">
        <f>5500</f>
        <v>5500</v>
      </c>
    </row>
    <row r="15" spans="1:3">
      <c r="A15" s="94" t="s">
        <v>172</v>
      </c>
      <c r="B15" s="94" t="s">
        <v>1385</v>
      </c>
      <c r="C15" s="94" t="s">
        <v>1386</v>
      </c>
    </row>
    <row r="16" spans="1:3">
      <c r="A16" s="94" t="s">
        <v>173</v>
      </c>
      <c r="B16" s="94" t="s">
        <v>1387</v>
      </c>
      <c r="C16" s="94" t="s">
        <v>1388</v>
      </c>
    </row>
    <row r="17" spans="1:3">
      <c r="A17" s="94" t="s">
        <v>197</v>
      </c>
      <c r="B17" s="129">
        <f>3000</f>
        <v>3000</v>
      </c>
      <c r="C17" s="113">
        <f>2633.6</f>
        <v>2633.6</v>
      </c>
    </row>
    <row r="18" spans="1:3">
      <c r="A18" s="94" t="s">
        <v>199</v>
      </c>
      <c r="B18" s="113">
        <f>2370</f>
        <v>2370</v>
      </c>
      <c r="C18" s="113">
        <f>2370</f>
        <v>2370</v>
      </c>
    </row>
    <row r="19" spans="1:3">
      <c r="A19" s="94" t="s">
        <v>198</v>
      </c>
      <c r="B19" s="130">
        <f>4605</f>
        <v>4605</v>
      </c>
      <c r="C19" s="130">
        <f>4605</f>
        <v>4605</v>
      </c>
    </row>
    <row r="20" spans="1:3">
      <c r="A20" s="94" t="s">
        <v>229</v>
      </c>
      <c r="B20" s="113">
        <f>4576</f>
        <v>4576</v>
      </c>
      <c r="C20" s="113">
        <f>4576</f>
        <v>4576</v>
      </c>
    </row>
    <row r="21" spans="1:3">
      <c r="A21" s="94" t="s">
        <v>230</v>
      </c>
      <c r="B21" s="114">
        <f>33000</f>
        <v>33000</v>
      </c>
      <c r="C21" s="113">
        <f>795.86</f>
        <v>795.86</v>
      </c>
    </row>
    <row r="22" spans="1:3">
      <c r="A22" s="94" t="s">
        <v>231</v>
      </c>
      <c r="B22" s="113">
        <f>6902</f>
        <v>6902</v>
      </c>
      <c r="C22" s="113">
        <f>6902</f>
        <v>6902</v>
      </c>
    </row>
    <row r="23" spans="1:3">
      <c r="A23" s="94" t="s">
        <v>264</v>
      </c>
      <c r="B23" s="116">
        <f>3606</f>
        <v>3606</v>
      </c>
      <c r="C23" s="113">
        <f>3092.62</f>
        <v>3092.62</v>
      </c>
    </row>
    <row r="24" spans="1:3">
      <c r="A24" s="94" t="s">
        <v>265</v>
      </c>
      <c r="B24" s="115">
        <f>11500</f>
        <v>11500</v>
      </c>
      <c r="C24" s="113">
        <f>727.06</f>
        <v>727.06</v>
      </c>
    </row>
    <row r="25" spans="1:3">
      <c r="A25" s="94" t="s">
        <v>266</v>
      </c>
      <c r="B25" s="116">
        <f>13748</f>
        <v>13748</v>
      </c>
      <c r="C25" s="113">
        <f>11790.74</f>
        <v>11790.74</v>
      </c>
    </row>
    <row r="26" spans="1:3">
      <c r="A26" s="94" t="s">
        <v>302</v>
      </c>
      <c r="B26" s="113">
        <f>11476</f>
        <v>11476</v>
      </c>
      <c r="C26" s="113">
        <f>11476</f>
        <v>11476</v>
      </c>
    </row>
    <row r="27" spans="1:3">
      <c r="A27" s="94" t="s">
        <v>1265</v>
      </c>
      <c r="B27" s="116">
        <f>5918</f>
        <v>5918</v>
      </c>
      <c r="C27" s="113">
        <f>5056.9</f>
        <v>5056.8999999999996</v>
      </c>
    </row>
    <row r="28" spans="1:3">
      <c r="A28" s="94" t="s">
        <v>1266</v>
      </c>
      <c r="B28" s="116">
        <f>5918</f>
        <v>5918</v>
      </c>
      <c r="C28" s="113">
        <f>5056.9</f>
        <v>5056.8999999999996</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28"/>
  <sheetViews>
    <sheetView workbookViewId="0">
      <selection activeCell="B29" sqref="B29"/>
    </sheetView>
  </sheetViews>
  <sheetFormatPr baseColWidth="10" defaultRowHeight="15"/>
  <cols>
    <col min="1" max="1" width="19.140625" bestFit="1" customWidth="1"/>
    <col min="2" max="2" width="32.140625" bestFit="1" customWidth="1"/>
  </cols>
  <sheetData>
    <row r="1" spans="1:2">
      <c r="A1" s="1" t="s">
        <v>0</v>
      </c>
      <c r="B1" s="1" t="s">
        <v>1378</v>
      </c>
    </row>
    <row r="2" spans="1:2">
      <c r="A2" s="94" t="s">
        <v>3</v>
      </c>
      <c r="B2" s="120">
        <f>3.7</f>
        <v>3.7</v>
      </c>
    </row>
    <row r="3" spans="1:2">
      <c r="A3" s="94" t="s">
        <v>1</v>
      </c>
      <c r="B3" s="120">
        <f>12.58</f>
        <v>12.58</v>
      </c>
    </row>
    <row r="4" spans="1:2">
      <c r="A4" s="94" t="s">
        <v>2</v>
      </c>
      <c r="B4" s="120">
        <f>10.65</f>
        <v>10.65</v>
      </c>
    </row>
    <row r="5" spans="1:2">
      <c r="A5" s="94" t="s">
        <v>78</v>
      </c>
      <c r="B5" s="120">
        <f>9</f>
        <v>9</v>
      </c>
    </row>
    <row r="6" spans="1:2">
      <c r="A6" s="94" t="s">
        <v>79</v>
      </c>
      <c r="B6" s="120">
        <f>7</f>
        <v>7</v>
      </c>
    </row>
    <row r="7" spans="1:2">
      <c r="A7" s="94" t="s">
        <v>80</v>
      </c>
      <c r="B7" s="120">
        <f>8.7</f>
        <v>8.6999999999999993</v>
      </c>
    </row>
    <row r="8" spans="1:2">
      <c r="A8" s="94" t="s">
        <v>105</v>
      </c>
      <c r="B8" s="120">
        <f>4.1</f>
        <v>4.0999999999999996</v>
      </c>
    </row>
    <row r="9" spans="1:2">
      <c r="A9" s="94" t="s">
        <v>106</v>
      </c>
      <c r="B9" s="120">
        <f>9.6</f>
        <v>9.6</v>
      </c>
    </row>
    <row r="10" spans="1:2">
      <c r="A10" s="94" t="s">
        <v>107</v>
      </c>
      <c r="B10" s="120">
        <f>11.8</f>
        <v>11.8</v>
      </c>
    </row>
    <row r="11" spans="1:2">
      <c r="A11" s="94" t="s">
        <v>142</v>
      </c>
      <c r="B11" s="120">
        <f>1</f>
        <v>1</v>
      </c>
    </row>
    <row r="12" spans="1:2">
      <c r="A12" s="94" t="s">
        <v>1264</v>
      </c>
      <c r="B12" s="120">
        <f>15</f>
        <v>15</v>
      </c>
    </row>
    <row r="13" spans="1:2">
      <c r="A13" s="94" t="s">
        <v>144</v>
      </c>
      <c r="B13" s="120">
        <f>2.8</f>
        <v>2.8</v>
      </c>
    </row>
    <row r="14" spans="1:2">
      <c r="A14" s="94" t="s">
        <v>171</v>
      </c>
      <c r="B14" s="120">
        <f>5.1</f>
        <v>5.0999999999999996</v>
      </c>
    </row>
    <row r="15" spans="1:2">
      <c r="A15" s="94" t="s">
        <v>172</v>
      </c>
      <c r="B15" s="120">
        <f>0.8</f>
        <v>0.8</v>
      </c>
    </row>
    <row r="16" spans="1:2">
      <c r="A16" s="94" t="s">
        <v>173</v>
      </c>
      <c r="B16" s="120">
        <f>4.6</f>
        <v>4.5999999999999996</v>
      </c>
    </row>
    <row r="17" spans="1:2">
      <c r="A17" s="94" t="s">
        <v>197</v>
      </c>
      <c r="B17" s="120">
        <f>1.9</f>
        <v>1.9</v>
      </c>
    </row>
    <row r="18" spans="1:2">
      <c r="A18" s="94" t="s">
        <v>199</v>
      </c>
      <c r="B18" s="120">
        <f>8.2</f>
        <v>8.1999999999999993</v>
      </c>
    </row>
    <row r="19" spans="1:2">
      <c r="A19" s="94" t="s">
        <v>198</v>
      </c>
      <c r="B19" s="120">
        <f>5.5</f>
        <v>5.5</v>
      </c>
    </row>
    <row r="20" spans="1:2">
      <c r="A20" s="94" t="s">
        <v>229</v>
      </c>
      <c r="B20" s="120">
        <f>4.4</f>
        <v>4.4000000000000004</v>
      </c>
    </row>
    <row r="21" spans="1:2">
      <c r="A21" s="94" t="s">
        <v>230</v>
      </c>
      <c r="B21" s="120">
        <f>7.1</f>
        <v>7.1</v>
      </c>
    </row>
    <row r="22" spans="1:2">
      <c r="A22" s="94" t="s">
        <v>231</v>
      </c>
      <c r="B22" s="120">
        <f>3.8</f>
        <v>3.8</v>
      </c>
    </row>
    <row r="23" spans="1:2">
      <c r="A23" s="94" t="s">
        <v>264</v>
      </c>
      <c r="B23" s="120">
        <f>6.1</f>
        <v>6.1</v>
      </c>
    </row>
    <row r="24" spans="1:2">
      <c r="A24" s="94" t="s">
        <v>265</v>
      </c>
      <c r="B24" s="120">
        <f>4.1</f>
        <v>4.0999999999999996</v>
      </c>
    </row>
    <row r="25" spans="1:2">
      <c r="A25" s="94" t="s">
        <v>266</v>
      </c>
      <c r="B25" s="120">
        <f>2.1</f>
        <v>2.1</v>
      </c>
    </row>
    <row r="26" spans="1:2">
      <c r="A26" s="94" t="s">
        <v>302</v>
      </c>
      <c r="B26" s="120">
        <f>2.4</f>
        <v>2.4</v>
      </c>
    </row>
    <row r="27" spans="1:2">
      <c r="A27" s="94" t="s">
        <v>1265</v>
      </c>
      <c r="B27" s="192">
        <f>1.72</f>
        <v>1.72</v>
      </c>
    </row>
    <row r="28" spans="1:2">
      <c r="A28" s="94" t="s">
        <v>1266</v>
      </c>
      <c r="B28" s="193"/>
    </row>
  </sheetData>
  <mergeCells count="1">
    <mergeCell ref="B27:B28"/>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28"/>
  <sheetViews>
    <sheetView workbookViewId="0">
      <selection activeCell="D15" sqref="D15"/>
    </sheetView>
  </sheetViews>
  <sheetFormatPr baseColWidth="10" defaultRowHeight="15"/>
  <cols>
    <col min="1" max="1" width="19.140625" bestFit="1" customWidth="1"/>
    <col min="2" max="2" width="42.7109375" bestFit="1" customWidth="1"/>
  </cols>
  <sheetData>
    <row r="1" spans="1:2">
      <c r="A1" s="1" t="s">
        <v>0</v>
      </c>
      <c r="B1" s="1" t="s">
        <v>1382</v>
      </c>
    </row>
    <row r="2" spans="1:2">
      <c r="A2" s="94" t="s">
        <v>3</v>
      </c>
      <c r="B2" s="113">
        <f>-1.25*10^(3)*1.07</f>
        <v>-1337.5</v>
      </c>
    </row>
    <row r="3" spans="1:2">
      <c r="A3" s="94" t="s">
        <v>1</v>
      </c>
      <c r="B3" s="121">
        <f>-592.8*4</f>
        <v>-2371.1999999999998</v>
      </c>
    </row>
    <row r="4" spans="1:2">
      <c r="A4" s="94" t="s">
        <v>2</v>
      </c>
      <c r="B4" s="122">
        <f>(-212306/10^(3))*12</f>
        <v>-2547.672</v>
      </c>
    </row>
    <row r="5" spans="1:2">
      <c r="A5" s="94" t="s">
        <v>78</v>
      </c>
      <c r="B5" s="123">
        <f>-135*12</f>
        <v>-1620</v>
      </c>
    </row>
    <row r="6" spans="1:2">
      <c r="A6" s="94" t="s">
        <v>79</v>
      </c>
      <c r="B6" s="124">
        <f>-2.71*10^(3)</f>
        <v>-2710</v>
      </c>
    </row>
    <row r="7" spans="1:2">
      <c r="A7" s="94" t="s">
        <v>80</v>
      </c>
      <c r="B7" s="116">
        <f>-671</f>
        <v>-671</v>
      </c>
    </row>
    <row r="8" spans="1:2">
      <c r="A8" s="94" t="s">
        <v>105</v>
      </c>
      <c r="B8" s="126">
        <f>-848.3</f>
        <v>-848.3</v>
      </c>
    </row>
    <row r="9" spans="1:2">
      <c r="A9" s="94" t="s">
        <v>106</v>
      </c>
      <c r="B9" s="127">
        <f>(-256710/10^(3))*12</f>
        <v>-3080.5199999999995</v>
      </c>
    </row>
    <row r="10" spans="1:2">
      <c r="A10" s="94" t="s">
        <v>107</v>
      </c>
      <c r="B10" s="128">
        <f>-3625*12</f>
        <v>-43500</v>
      </c>
    </row>
    <row r="11" spans="1:2">
      <c r="A11" s="94" t="s">
        <v>142</v>
      </c>
      <c r="B11" s="116">
        <f>-7.92*10^(3)</f>
        <v>-7920</v>
      </c>
    </row>
    <row r="12" spans="1:2">
      <c r="A12" s="94" t="s">
        <v>1264</v>
      </c>
      <c r="B12" s="111"/>
    </row>
    <row r="13" spans="1:2">
      <c r="A13" s="94" t="s">
        <v>144</v>
      </c>
      <c r="B13" s="125">
        <f>-54137</f>
        <v>-54137</v>
      </c>
    </row>
    <row r="14" spans="1:2">
      <c r="A14" s="94" t="s">
        <v>171</v>
      </c>
      <c r="B14" s="113">
        <f>4989100/10^(3)</f>
        <v>4989.1000000000004</v>
      </c>
    </row>
    <row r="15" spans="1:2">
      <c r="A15" s="94" t="s">
        <v>172</v>
      </c>
      <c r="B15" s="111"/>
    </row>
    <row r="16" spans="1:2">
      <c r="A16" s="94" t="s">
        <v>173</v>
      </c>
      <c r="B16" s="111"/>
    </row>
    <row r="17" spans="1:2">
      <c r="A17" s="94" t="s">
        <v>197</v>
      </c>
      <c r="B17" s="129">
        <f>(448273/10^(3))*4</f>
        <v>1793.0920000000001</v>
      </c>
    </row>
    <row r="18" spans="1:2">
      <c r="A18" s="94" t="s">
        <v>199</v>
      </c>
      <c r="B18" s="113">
        <f>-140.5*12</f>
        <v>-1686</v>
      </c>
    </row>
    <row r="19" spans="1:2">
      <c r="A19" s="94" t="s">
        <v>198</v>
      </c>
      <c r="B19" s="130">
        <f>-0.48*10^(3)*12</f>
        <v>-5760</v>
      </c>
    </row>
    <row r="20" spans="1:2">
      <c r="A20" s="94" t="s">
        <v>229</v>
      </c>
      <c r="B20" s="113">
        <f>(-312088/10^(3))*12</f>
        <v>-3745.0560000000005</v>
      </c>
    </row>
    <row r="21" spans="1:2">
      <c r="A21" s="94" t="s">
        <v>230</v>
      </c>
      <c r="B21" s="114">
        <f>-8741*12</f>
        <v>-104892</v>
      </c>
    </row>
    <row r="22" spans="1:2">
      <c r="A22" s="94" t="s">
        <v>231</v>
      </c>
      <c r="B22" s="113">
        <f>4813*12</f>
        <v>57756</v>
      </c>
    </row>
    <row r="23" spans="1:2">
      <c r="A23" s="94" t="s">
        <v>264</v>
      </c>
      <c r="B23" s="132">
        <f>(-973841/10^(3))*12</f>
        <v>-11686.092000000001</v>
      </c>
    </row>
    <row r="24" spans="1:2">
      <c r="A24" s="94" t="s">
        <v>265</v>
      </c>
      <c r="B24" s="116">
        <f>-59.16*12</f>
        <v>-709.92</v>
      </c>
    </row>
    <row r="25" spans="1:2">
      <c r="A25" s="94" t="s">
        <v>266</v>
      </c>
      <c r="B25" s="131">
        <f>2724.07*12</f>
        <v>32688.840000000004</v>
      </c>
    </row>
    <row r="26" spans="1:2">
      <c r="A26" s="94" t="s">
        <v>302</v>
      </c>
      <c r="B26" s="129">
        <f>1154.26*12</f>
        <v>13851.119999999999</v>
      </c>
    </row>
    <row r="27" spans="1:2">
      <c r="A27" s="94" t="s">
        <v>1265</v>
      </c>
      <c r="B27" s="194">
        <f>315100</f>
        <v>315100</v>
      </c>
    </row>
    <row r="28" spans="1:2">
      <c r="A28" s="94" t="s">
        <v>1266</v>
      </c>
      <c r="B28" s="195"/>
    </row>
  </sheetData>
  <mergeCells count="1">
    <mergeCell ref="B27:B28"/>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28"/>
  <sheetViews>
    <sheetView workbookViewId="0">
      <selection activeCell="B21" sqref="B21"/>
    </sheetView>
  </sheetViews>
  <sheetFormatPr baseColWidth="10" defaultRowHeight="15"/>
  <cols>
    <col min="1" max="1" width="19.140625" bestFit="1" customWidth="1"/>
    <col min="2" max="2" width="12.28515625" bestFit="1" customWidth="1"/>
  </cols>
  <sheetData>
    <row r="1" spans="1:2">
      <c r="A1" s="1" t="s">
        <v>0</v>
      </c>
      <c r="B1" s="1" t="s">
        <v>1280</v>
      </c>
    </row>
    <row r="2" spans="1:2">
      <c r="A2" s="92" t="s">
        <v>3</v>
      </c>
      <c r="B2" s="92" t="s">
        <v>41</v>
      </c>
    </row>
    <row r="3" spans="1:2">
      <c r="A3" s="92" t="s">
        <v>1</v>
      </c>
      <c r="B3" s="92" t="s">
        <v>41</v>
      </c>
    </row>
    <row r="4" spans="1:2">
      <c r="A4" s="91" t="s">
        <v>2</v>
      </c>
      <c r="B4" s="91" t="s">
        <v>5</v>
      </c>
    </row>
    <row r="5" spans="1:2">
      <c r="A5" s="91" t="s">
        <v>78</v>
      </c>
      <c r="B5" s="91" t="s">
        <v>5</v>
      </c>
    </row>
    <row r="6" spans="1:2">
      <c r="A6" s="92" t="s">
        <v>79</v>
      </c>
      <c r="B6" s="92" t="s">
        <v>41</v>
      </c>
    </row>
    <row r="7" spans="1:2">
      <c r="A7" s="91" t="s">
        <v>80</v>
      </c>
      <c r="B7" s="91" t="s">
        <v>5</v>
      </c>
    </row>
    <row r="8" spans="1:2">
      <c r="A8" s="92" t="s">
        <v>105</v>
      </c>
      <c r="B8" s="92" t="s">
        <v>41</v>
      </c>
    </row>
    <row r="9" spans="1:2">
      <c r="A9" s="92" t="s">
        <v>106</v>
      </c>
      <c r="B9" s="92" t="s">
        <v>41</v>
      </c>
    </row>
    <row r="10" spans="1:2">
      <c r="A10" s="91" t="s">
        <v>107</v>
      </c>
      <c r="B10" s="91" t="s">
        <v>5</v>
      </c>
    </row>
    <row r="11" spans="1:2">
      <c r="A11" s="92" t="s">
        <v>142</v>
      </c>
      <c r="B11" s="92" t="s">
        <v>41</v>
      </c>
    </row>
    <row r="12" spans="1:2">
      <c r="A12" s="92" t="s">
        <v>1264</v>
      </c>
      <c r="B12" s="92" t="s">
        <v>41</v>
      </c>
    </row>
    <row r="13" spans="1:2">
      <c r="A13" s="92" t="s">
        <v>144</v>
      </c>
      <c r="B13" s="92" t="s">
        <v>41</v>
      </c>
    </row>
    <row r="14" spans="1:2">
      <c r="A14" s="92" t="s">
        <v>171</v>
      </c>
      <c r="B14" s="92" t="s">
        <v>41</v>
      </c>
    </row>
    <row r="15" spans="1:2">
      <c r="A15" s="92" t="s">
        <v>172</v>
      </c>
      <c r="B15" s="92" t="s">
        <v>41</v>
      </c>
    </row>
    <row r="16" spans="1:2">
      <c r="A16" s="92" t="s">
        <v>173</v>
      </c>
      <c r="B16" s="92" t="s">
        <v>41</v>
      </c>
    </row>
    <row r="17" spans="1:2">
      <c r="A17" s="92" t="s">
        <v>197</v>
      </c>
      <c r="B17" s="92" t="s">
        <v>41</v>
      </c>
    </row>
    <row r="18" spans="1:2">
      <c r="A18" s="92" t="s">
        <v>199</v>
      </c>
      <c r="B18" s="92" t="s">
        <v>41</v>
      </c>
    </row>
    <row r="19" spans="1:2">
      <c r="A19" s="92" t="s">
        <v>198</v>
      </c>
      <c r="B19" s="92" t="s">
        <v>41</v>
      </c>
    </row>
    <row r="20" spans="1:2">
      <c r="A20" s="92" t="s">
        <v>229</v>
      </c>
      <c r="B20" s="92" t="s">
        <v>41</v>
      </c>
    </row>
    <row r="21" spans="1:2">
      <c r="A21" s="91" t="s">
        <v>230</v>
      </c>
      <c r="B21" s="91" t="s">
        <v>5</v>
      </c>
    </row>
    <row r="22" spans="1:2">
      <c r="A22" s="92" t="s">
        <v>231</v>
      </c>
      <c r="B22" s="92" t="s">
        <v>41</v>
      </c>
    </row>
    <row r="23" spans="1:2">
      <c r="A23" s="92" t="s">
        <v>264</v>
      </c>
      <c r="B23" s="92" t="s">
        <v>41</v>
      </c>
    </row>
    <row r="24" spans="1:2">
      <c r="A24" s="91" t="s">
        <v>265</v>
      </c>
      <c r="B24" s="91" t="s">
        <v>5</v>
      </c>
    </row>
    <row r="25" spans="1:2">
      <c r="A25" s="92" t="s">
        <v>266</v>
      </c>
      <c r="B25" s="92" t="s">
        <v>41</v>
      </c>
    </row>
    <row r="26" spans="1:2">
      <c r="A26" s="92" t="s">
        <v>302</v>
      </c>
      <c r="B26" s="92" t="s">
        <v>41</v>
      </c>
    </row>
    <row r="27" spans="1:2">
      <c r="A27" s="91" t="s">
        <v>1265</v>
      </c>
      <c r="B27" s="91" t="s">
        <v>5</v>
      </c>
    </row>
    <row r="28" spans="1:2">
      <c r="A28" s="91" t="s">
        <v>1266</v>
      </c>
      <c r="B28" s="91" t="s">
        <v>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28"/>
  <sheetViews>
    <sheetView workbookViewId="0">
      <selection activeCell="C30" sqref="C30"/>
    </sheetView>
  </sheetViews>
  <sheetFormatPr baseColWidth="10" defaultRowHeight="15"/>
  <cols>
    <col min="1" max="1" width="14.5703125" bestFit="1" customWidth="1"/>
    <col min="2" max="2" width="41.5703125" bestFit="1" customWidth="1"/>
  </cols>
  <sheetData>
    <row r="1" spans="1:2">
      <c r="A1" s="1" t="s">
        <v>0</v>
      </c>
      <c r="B1" s="1" t="s">
        <v>1571</v>
      </c>
    </row>
    <row r="2" spans="1:2">
      <c r="A2" s="94" t="s">
        <v>3</v>
      </c>
      <c r="B2" s="39" t="s">
        <v>1456</v>
      </c>
    </row>
    <row r="3" spans="1:2">
      <c r="A3" s="94" t="s">
        <v>1</v>
      </c>
      <c r="B3" s="39" t="s">
        <v>1456</v>
      </c>
    </row>
    <row r="4" spans="1:2">
      <c r="A4" s="94" t="s">
        <v>2</v>
      </c>
      <c r="B4" s="39" t="s">
        <v>1456</v>
      </c>
    </row>
    <row r="5" spans="1:2">
      <c r="A5" s="94" t="s">
        <v>78</v>
      </c>
      <c r="B5" s="39" t="s">
        <v>1456</v>
      </c>
    </row>
    <row r="6" spans="1:2">
      <c r="A6" s="94" t="s">
        <v>79</v>
      </c>
      <c r="B6" s="39" t="s">
        <v>1456</v>
      </c>
    </row>
    <row r="7" spans="1:2">
      <c r="A7" s="94" t="s">
        <v>1263</v>
      </c>
      <c r="B7" s="39" t="s">
        <v>1456</v>
      </c>
    </row>
    <row r="8" spans="1:2">
      <c r="A8" s="94" t="s">
        <v>105</v>
      </c>
      <c r="B8" s="39" t="s">
        <v>1456</v>
      </c>
    </row>
    <row r="9" spans="1:2">
      <c r="A9" s="94" t="s">
        <v>106</v>
      </c>
      <c r="B9" s="39" t="s">
        <v>1456</v>
      </c>
    </row>
    <row r="10" spans="1:2">
      <c r="A10" s="94" t="s">
        <v>107</v>
      </c>
      <c r="B10" s="39" t="s">
        <v>1456</v>
      </c>
    </row>
    <row r="11" spans="1:2">
      <c r="A11" s="94" t="s">
        <v>142</v>
      </c>
      <c r="B11" s="39" t="s">
        <v>1456</v>
      </c>
    </row>
    <row r="12" spans="1:2">
      <c r="A12" s="94" t="s">
        <v>1264</v>
      </c>
      <c r="B12" s="39" t="s">
        <v>1456</v>
      </c>
    </row>
    <row r="13" spans="1:2">
      <c r="A13" s="94" t="s">
        <v>144</v>
      </c>
      <c r="B13" s="39" t="s">
        <v>1456</v>
      </c>
    </row>
    <row r="14" spans="1:2">
      <c r="A14" s="109" t="s">
        <v>171</v>
      </c>
      <c r="B14" s="39" t="s">
        <v>1456</v>
      </c>
    </row>
    <row r="15" spans="1:2">
      <c r="A15" s="94" t="s">
        <v>172</v>
      </c>
      <c r="B15" s="39" t="s">
        <v>1456</v>
      </c>
    </row>
    <row r="16" spans="1:2">
      <c r="A16" s="94" t="s">
        <v>173</v>
      </c>
      <c r="B16" s="39" t="s">
        <v>1456</v>
      </c>
    </row>
    <row r="17" spans="1:2">
      <c r="A17" s="94" t="s">
        <v>197</v>
      </c>
      <c r="B17" s="39" t="s">
        <v>1456</v>
      </c>
    </row>
    <row r="18" spans="1:2">
      <c r="A18" s="94" t="s">
        <v>199</v>
      </c>
      <c r="B18" s="39" t="s">
        <v>1456</v>
      </c>
    </row>
    <row r="19" spans="1:2">
      <c r="A19" s="94" t="s">
        <v>198</v>
      </c>
      <c r="B19" s="39" t="s">
        <v>1456</v>
      </c>
    </row>
    <row r="20" spans="1:2">
      <c r="A20" s="94" t="s">
        <v>229</v>
      </c>
      <c r="B20" s="39" t="s">
        <v>1456</v>
      </c>
    </row>
    <row r="21" spans="1:2">
      <c r="A21" s="94" t="s">
        <v>230</v>
      </c>
      <c r="B21" s="39" t="s">
        <v>1456</v>
      </c>
    </row>
    <row r="22" spans="1:2">
      <c r="A22" s="94" t="s">
        <v>231</v>
      </c>
      <c r="B22" s="39" t="s">
        <v>1456</v>
      </c>
    </row>
    <row r="23" spans="1:2">
      <c r="A23" s="94" t="s">
        <v>264</v>
      </c>
      <c r="B23" s="39" t="s">
        <v>1456</v>
      </c>
    </row>
    <row r="24" spans="1:2">
      <c r="A24" s="94" t="s">
        <v>265</v>
      </c>
      <c r="B24" s="39" t="s">
        <v>1456</v>
      </c>
    </row>
    <row r="25" spans="1:2">
      <c r="A25" s="94" t="s">
        <v>266</v>
      </c>
      <c r="B25" s="39" t="s">
        <v>1456</v>
      </c>
    </row>
    <row r="26" spans="1:2">
      <c r="A26" s="94" t="s">
        <v>302</v>
      </c>
      <c r="B26" s="39" t="s">
        <v>1456</v>
      </c>
    </row>
    <row r="27" spans="1:2">
      <c r="A27" s="94" t="s">
        <v>1265</v>
      </c>
      <c r="B27" s="39" t="s">
        <v>1456</v>
      </c>
    </row>
    <row r="28" spans="1:2">
      <c r="A28" s="94" t="s">
        <v>1266</v>
      </c>
      <c r="B28" s="39" t="s">
        <v>1456</v>
      </c>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E28"/>
  <sheetViews>
    <sheetView workbookViewId="0">
      <selection activeCell="B27" sqref="B27"/>
    </sheetView>
  </sheetViews>
  <sheetFormatPr baseColWidth="10" defaultRowHeight="15"/>
  <cols>
    <col min="1" max="1" width="19.140625" bestFit="1" customWidth="1"/>
    <col min="2" max="2" width="21.42578125" bestFit="1" customWidth="1"/>
    <col min="3" max="3" width="28.5703125" bestFit="1" customWidth="1"/>
    <col min="4" max="4" width="15.28515625" bestFit="1" customWidth="1"/>
  </cols>
  <sheetData>
    <row r="1" spans="1:5">
      <c r="A1" s="1" t="s">
        <v>0</v>
      </c>
      <c r="B1" s="1" t="s">
        <v>1314</v>
      </c>
      <c r="C1" s="1" t="s">
        <v>1379</v>
      </c>
      <c r="D1" s="1" t="s">
        <v>1380</v>
      </c>
      <c r="E1" s="1" t="s">
        <v>1381</v>
      </c>
    </row>
    <row r="2" spans="1:5">
      <c r="A2" s="94" t="s">
        <v>3</v>
      </c>
      <c r="B2" s="39"/>
      <c r="C2" s="39"/>
      <c r="D2" s="39"/>
      <c r="E2" s="39"/>
    </row>
    <row r="3" spans="1:5">
      <c r="A3" s="94" t="s">
        <v>1</v>
      </c>
      <c r="B3" s="39"/>
      <c r="C3" s="39"/>
      <c r="D3" s="39"/>
      <c r="E3" s="39"/>
    </row>
    <row r="4" spans="1:5">
      <c r="A4" s="94" t="s">
        <v>2</v>
      </c>
      <c r="B4" s="39"/>
      <c r="C4" s="39"/>
      <c r="D4" s="39"/>
      <c r="E4" s="39"/>
    </row>
    <row r="5" spans="1:5">
      <c r="A5" s="94" t="s">
        <v>78</v>
      </c>
      <c r="B5" s="39"/>
      <c r="C5" s="39"/>
      <c r="D5" s="39"/>
      <c r="E5" s="39"/>
    </row>
    <row r="6" spans="1:5">
      <c r="A6" s="94" t="s">
        <v>79</v>
      </c>
      <c r="B6" s="39"/>
      <c r="C6" s="39"/>
      <c r="D6" s="39"/>
      <c r="E6" s="39"/>
    </row>
    <row r="7" spans="1:5">
      <c r="A7" s="94" t="s">
        <v>80</v>
      </c>
      <c r="B7" s="39"/>
      <c r="C7" s="39"/>
      <c r="D7" s="39"/>
      <c r="E7" s="39"/>
    </row>
    <row r="8" spans="1:5">
      <c r="A8" s="94" t="s">
        <v>105</v>
      </c>
      <c r="B8" s="39"/>
      <c r="C8" s="39"/>
      <c r="D8" s="39"/>
      <c r="E8" s="39"/>
    </row>
    <row r="9" spans="1:5">
      <c r="A9" s="94" t="s">
        <v>106</v>
      </c>
      <c r="B9" s="39"/>
      <c r="C9" s="39"/>
      <c r="D9" s="39"/>
      <c r="E9" s="39"/>
    </row>
    <row r="10" spans="1:5">
      <c r="A10" s="94" t="s">
        <v>107</v>
      </c>
      <c r="B10" s="39"/>
      <c r="C10" s="39"/>
      <c r="D10" s="39"/>
      <c r="E10" s="39"/>
    </row>
    <row r="11" spans="1:5">
      <c r="A11" s="94" t="s">
        <v>142</v>
      </c>
      <c r="B11" s="39"/>
      <c r="C11" s="39"/>
      <c r="D11" s="39"/>
      <c r="E11" s="39"/>
    </row>
    <row r="12" spans="1:5">
      <c r="A12" s="94" t="s">
        <v>1264</v>
      </c>
      <c r="B12" s="39"/>
      <c r="C12" s="39"/>
      <c r="D12" s="39"/>
      <c r="E12" s="39"/>
    </row>
    <row r="13" spans="1:5">
      <c r="A13" s="94" t="s">
        <v>144</v>
      </c>
      <c r="B13" s="39"/>
      <c r="C13" s="39"/>
      <c r="D13" s="39"/>
      <c r="E13" s="39"/>
    </row>
    <row r="14" spans="1:5">
      <c r="A14" s="109" t="s">
        <v>171</v>
      </c>
      <c r="B14" s="39"/>
      <c r="C14" s="39"/>
      <c r="D14" s="39"/>
      <c r="E14" s="39"/>
    </row>
    <row r="15" spans="1:5">
      <c r="A15" s="94" t="s">
        <v>172</v>
      </c>
      <c r="B15" s="39"/>
      <c r="C15" s="39"/>
      <c r="D15" s="39"/>
      <c r="E15" s="39"/>
    </row>
    <row r="16" spans="1:5">
      <c r="A16" s="94" t="s">
        <v>173</v>
      </c>
      <c r="B16" s="39"/>
      <c r="C16" s="39"/>
      <c r="D16" s="39"/>
      <c r="E16" s="39"/>
    </row>
    <row r="17" spans="1:5">
      <c r="A17" s="94" t="s">
        <v>197</v>
      </c>
      <c r="B17" s="39"/>
      <c r="C17" s="39"/>
      <c r="D17" s="39"/>
      <c r="E17" s="39"/>
    </row>
    <row r="18" spans="1:5">
      <c r="A18" s="94" t="s">
        <v>199</v>
      </c>
      <c r="B18" s="39"/>
      <c r="C18" s="39"/>
      <c r="D18" s="39"/>
      <c r="E18" s="39"/>
    </row>
    <row r="19" spans="1:5">
      <c r="A19" s="94" t="s">
        <v>198</v>
      </c>
      <c r="B19" s="39"/>
      <c r="C19" s="39"/>
      <c r="D19" s="39"/>
      <c r="E19" s="39"/>
    </row>
    <row r="20" spans="1:5">
      <c r="A20" s="94" t="s">
        <v>229</v>
      </c>
      <c r="B20" s="39"/>
      <c r="C20" s="39"/>
      <c r="D20" s="39"/>
      <c r="E20" s="39"/>
    </row>
    <row r="21" spans="1:5">
      <c r="A21" s="94" t="s">
        <v>230</v>
      </c>
      <c r="B21" s="39"/>
      <c r="C21" s="39"/>
      <c r="D21" s="39"/>
      <c r="E21" s="39"/>
    </row>
    <row r="22" spans="1:5">
      <c r="A22" s="94" t="s">
        <v>231</v>
      </c>
      <c r="B22" s="39"/>
      <c r="C22" s="39"/>
      <c r="D22" s="39"/>
      <c r="E22" s="39"/>
    </row>
    <row r="23" spans="1:5">
      <c r="A23" s="94" t="s">
        <v>264</v>
      </c>
      <c r="B23" s="39"/>
      <c r="C23" s="39"/>
      <c r="D23" s="39"/>
      <c r="E23" s="39"/>
    </row>
    <row r="24" spans="1:5">
      <c r="A24" s="94" t="s">
        <v>265</v>
      </c>
      <c r="B24" s="39"/>
      <c r="C24" s="39"/>
      <c r="D24" s="39"/>
      <c r="E24" s="39"/>
    </row>
    <row r="25" spans="1:5">
      <c r="A25" s="94" t="s">
        <v>266</v>
      </c>
      <c r="B25" s="39"/>
      <c r="C25" s="39"/>
      <c r="D25" s="39"/>
      <c r="E25" s="39"/>
    </row>
    <row r="26" spans="1:5">
      <c r="A26" s="94" t="s">
        <v>302</v>
      </c>
      <c r="B26" s="39"/>
      <c r="C26" s="39"/>
      <c r="D26" s="39"/>
      <c r="E26" s="39"/>
    </row>
    <row r="27" spans="1:5">
      <c r="A27" s="94" t="s">
        <v>1265</v>
      </c>
      <c r="B27" s="39"/>
      <c r="C27" s="39"/>
      <c r="D27" s="39"/>
      <c r="E27" s="39"/>
    </row>
    <row r="28" spans="1:5">
      <c r="A28" s="94" t="s">
        <v>1266</v>
      </c>
      <c r="B28" s="39"/>
      <c r="C28" s="39"/>
      <c r="D28" s="39"/>
      <c r="E28" s="39"/>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28"/>
  <sheetViews>
    <sheetView workbookViewId="0">
      <selection activeCell="B28" sqref="B28"/>
    </sheetView>
  </sheetViews>
  <sheetFormatPr baseColWidth="10" defaultRowHeight="15"/>
  <cols>
    <col min="1" max="1" width="14.5703125" bestFit="1" customWidth="1"/>
    <col min="2" max="2" width="26.42578125" bestFit="1" customWidth="1"/>
  </cols>
  <sheetData>
    <row r="1" spans="1:2">
      <c r="A1" s="1" t="s">
        <v>0</v>
      </c>
      <c r="B1" s="1" t="s">
        <v>1464</v>
      </c>
    </row>
    <row r="2" spans="1:2">
      <c r="A2" s="91" t="s">
        <v>3</v>
      </c>
      <c r="B2" s="91">
        <f>10</f>
        <v>10</v>
      </c>
    </row>
    <row r="3" spans="1:2">
      <c r="A3" s="92" t="s">
        <v>1</v>
      </c>
      <c r="B3" s="92">
        <f>0</f>
        <v>0</v>
      </c>
    </row>
    <row r="4" spans="1:2">
      <c r="A4" s="92" t="s">
        <v>2</v>
      </c>
      <c r="B4" s="92">
        <f>0</f>
        <v>0</v>
      </c>
    </row>
    <row r="5" spans="1:2">
      <c r="A5" s="92" t="s">
        <v>78</v>
      </c>
      <c r="B5" s="92">
        <f>0</f>
        <v>0</v>
      </c>
    </row>
    <row r="6" spans="1:2">
      <c r="A6" s="92" t="s">
        <v>79</v>
      </c>
      <c r="B6" s="92">
        <f>0</f>
        <v>0</v>
      </c>
    </row>
    <row r="7" spans="1:2">
      <c r="A7" s="92" t="s">
        <v>1263</v>
      </c>
      <c r="B7" s="92">
        <f>0</f>
        <v>0</v>
      </c>
    </row>
    <row r="8" spans="1:2">
      <c r="A8" s="92" t="s">
        <v>105</v>
      </c>
      <c r="B8" s="92">
        <f>0</f>
        <v>0</v>
      </c>
    </row>
    <row r="9" spans="1:2">
      <c r="A9" s="91" t="s">
        <v>106</v>
      </c>
      <c r="B9" s="91">
        <f>20</f>
        <v>20</v>
      </c>
    </row>
    <row r="10" spans="1:2">
      <c r="A10" s="91" t="s">
        <v>107</v>
      </c>
      <c r="B10" s="91">
        <f>10</f>
        <v>10</v>
      </c>
    </row>
    <row r="11" spans="1:2">
      <c r="A11" s="92" t="s">
        <v>142</v>
      </c>
      <c r="B11" s="92">
        <f>0</f>
        <v>0</v>
      </c>
    </row>
    <row r="12" spans="1:2">
      <c r="A12" s="92" t="s">
        <v>1264</v>
      </c>
      <c r="B12" s="92">
        <f>0</f>
        <v>0</v>
      </c>
    </row>
    <row r="13" spans="1:2">
      <c r="A13" s="92" t="s">
        <v>144</v>
      </c>
      <c r="B13" s="92">
        <f>0</f>
        <v>0</v>
      </c>
    </row>
    <row r="14" spans="1:2">
      <c r="A14" s="23" t="s">
        <v>171</v>
      </c>
      <c r="B14" s="91">
        <f>30</f>
        <v>30</v>
      </c>
    </row>
    <row r="15" spans="1:2">
      <c r="A15" s="92" t="s">
        <v>172</v>
      </c>
      <c r="B15" s="92">
        <f>0</f>
        <v>0</v>
      </c>
    </row>
    <row r="16" spans="1:2">
      <c r="A16" s="92" t="s">
        <v>173</v>
      </c>
      <c r="B16" s="92">
        <f>0</f>
        <v>0</v>
      </c>
    </row>
    <row r="17" spans="1:2">
      <c r="A17" s="91" t="s">
        <v>197</v>
      </c>
      <c r="B17" s="91">
        <f>12.5</f>
        <v>12.5</v>
      </c>
    </row>
    <row r="18" spans="1:2">
      <c r="A18" s="91" t="s">
        <v>199</v>
      </c>
      <c r="B18" s="91">
        <f>15</f>
        <v>15</v>
      </c>
    </row>
    <row r="19" spans="1:2">
      <c r="A19" s="91" t="s">
        <v>198</v>
      </c>
      <c r="B19" s="91">
        <f>29.22</f>
        <v>29.22</v>
      </c>
    </row>
    <row r="20" spans="1:2">
      <c r="A20" s="91" t="s">
        <v>229</v>
      </c>
      <c r="B20" s="91">
        <f>5</f>
        <v>5</v>
      </c>
    </row>
    <row r="21" spans="1:2">
      <c r="A21" s="92" t="s">
        <v>230</v>
      </c>
      <c r="B21" s="92">
        <f>0</f>
        <v>0</v>
      </c>
    </row>
    <row r="22" spans="1:2">
      <c r="A22" s="91" t="s">
        <v>231</v>
      </c>
      <c r="B22" s="91">
        <f>25</f>
        <v>25</v>
      </c>
    </row>
    <row r="23" spans="1:2">
      <c r="A23" s="91" t="s">
        <v>264</v>
      </c>
      <c r="B23" s="91">
        <f>13</f>
        <v>13</v>
      </c>
    </row>
    <row r="24" spans="1:2">
      <c r="A24" s="92" t="s">
        <v>265</v>
      </c>
      <c r="B24" s="92">
        <f>0</f>
        <v>0</v>
      </c>
    </row>
    <row r="25" spans="1:2">
      <c r="A25" s="92" t="s">
        <v>266</v>
      </c>
      <c r="B25" s="92">
        <f>0</f>
        <v>0</v>
      </c>
    </row>
    <row r="26" spans="1:2">
      <c r="A26" s="91" t="s">
        <v>302</v>
      </c>
      <c r="B26" s="91">
        <f>24.2</f>
        <v>24.2</v>
      </c>
    </row>
    <row r="27" spans="1:2">
      <c r="A27" s="92" t="s">
        <v>1265</v>
      </c>
      <c r="B27" s="92">
        <f>0</f>
        <v>0</v>
      </c>
    </row>
    <row r="28" spans="1:2">
      <c r="A28" s="92" t="s">
        <v>1266</v>
      </c>
      <c r="B28" s="92">
        <f>0</f>
        <v>0</v>
      </c>
    </row>
  </sheetData>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election activeCell="A2" sqref="A2:A28"/>
    </sheetView>
  </sheetViews>
  <sheetFormatPr baseColWidth="10" defaultRowHeight="15"/>
  <cols>
    <col min="1" max="1" width="14.5703125" bestFit="1" customWidth="1"/>
    <col min="2" max="2" width="25.7109375" bestFit="1" customWidth="1"/>
  </cols>
  <sheetData>
    <row r="1" spans="1:2">
      <c r="A1" s="1" t="s">
        <v>0</v>
      </c>
      <c r="B1" s="1" t="s">
        <v>1559</v>
      </c>
    </row>
    <row r="2" spans="1:2">
      <c r="A2" s="94" t="s">
        <v>3</v>
      </c>
      <c r="B2" s="39"/>
    </row>
    <row r="3" spans="1:2">
      <c r="A3" s="94" t="s">
        <v>1</v>
      </c>
      <c r="B3" s="39"/>
    </row>
    <row r="4" spans="1:2">
      <c r="A4" s="94" t="s">
        <v>2</v>
      </c>
      <c r="B4" s="39"/>
    </row>
    <row r="5" spans="1:2">
      <c r="A5" s="94" t="s">
        <v>78</v>
      </c>
      <c r="B5" s="39"/>
    </row>
    <row r="6" spans="1:2">
      <c r="A6" s="94" t="s">
        <v>79</v>
      </c>
      <c r="B6" s="39"/>
    </row>
    <row r="7" spans="1:2">
      <c r="A7" s="94" t="s">
        <v>1263</v>
      </c>
      <c r="B7" s="39"/>
    </row>
    <row r="8" spans="1:2">
      <c r="A8" s="94" t="s">
        <v>105</v>
      </c>
      <c r="B8" s="39"/>
    </row>
    <row r="9" spans="1:2">
      <c r="A9" s="94" t="s">
        <v>106</v>
      </c>
      <c r="B9" s="39"/>
    </row>
    <row r="10" spans="1:2">
      <c r="A10" s="94" t="s">
        <v>107</v>
      </c>
      <c r="B10" s="39"/>
    </row>
    <row r="11" spans="1:2">
      <c r="A11" s="94" t="s">
        <v>142</v>
      </c>
      <c r="B11" s="39"/>
    </row>
    <row r="12" spans="1:2">
      <c r="A12" s="94" t="s">
        <v>1264</v>
      </c>
      <c r="B12" s="39"/>
    </row>
    <row r="13" spans="1:2">
      <c r="A13" s="94" t="s">
        <v>144</v>
      </c>
      <c r="B13" s="39"/>
    </row>
    <row r="14" spans="1:2">
      <c r="A14" s="109" t="s">
        <v>171</v>
      </c>
      <c r="B14" s="39"/>
    </row>
    <row r="15" spans="1:2">
      <c r="A15" s="94" t="s">
        <v>172</v>
      </c>
      <c r="B15" s="39"/>
    </row>
    <row r="16" spans="1:2">
      <c r="A16" s="94" t="s">
        <v>173</v>
      </c>
      <c r="B16" s="39"/>
    </row>
    <row r="17" spans="1:2">
      <c r="A17" s="94" t="s">
        <v>197</v>
      </c>
      <c r="B17" s="39"/>
    </row>
    <row r="18" spans="1:2">
      <c r="A18" s="94" t="s">
        <v>199</v>
      </c>
      <c r="B18" s="39"/>
    </row>
    <row r="19" spans="1:2">
      <c r="A19" s="94" t="s">
        <v>198</v>
      </c>
      <c r="B19" s="39"/>
    </row>
    <row r="20" spans="1:2">
      <c r="A20" s="94" t="s">
        <v>229</v>
      </c>
      <c r="B20" s="39"/>
    </row>
    <row r="21" spans="1:2">
      <c r="A21" s="94" t="s">
        <v>230</v>
      </c>
      <c r="B21" s="39"/>
    </row>
    <row r="22" spans="1:2">
      <c r="A22" s="94" t="s">
        <v>231</v>
      </c>
      <c r="B22" s="39"/>
    </row>
    <row r="23" spans="1:2">
      <c r="A23" s="94" t="s">
        <v>264</v>
      </c>
      <c r="B23" s="39"/>
    </row>
    <row r="24" spans="1:2">
      <c r="A24" s="94" t="s">
        <v>265</v>
      </c>
      <c r="B24" s="39"/>
    </row>
    <row r="25" spans="1:2">
      <c r="A25" s="94" t="s">
        <v>266</v>
      </c>
      <c r="B25" s="39"/>
    </row>
    <row r="26" spans="1:2">
      <c r="A26" s="94" t="s">
        <v>302</v>
      </c>
      <c r="B26" s="39"/>
    </row>
    <row r="27" spans="1:2">
      <c r="A27" s="94" t="s">
        <v>1265</v>
      </c>
      <c r="B27" s="39"/>
    </row>
    <row r="28" spans="1:2">
      <c r="A28" s="94" t="s">
        <v>1266</v>
      </c>
      <c r="B28" s="39"/>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8"/>
  <sheetViews>
    <sheetView tabSelected="1" workbookViewId="0">
      <selection activeCell="L22" sqref="L22"/>
    </sheetView>
  </sheetViews>
  <sheetFormatPr baseColWidth="10" defaultRowHeight="15"/>
  <cols>
    <col min="1" max="1" width="14.5703125" bestFit="1" customWidth="1"/>
    <col min="2" max="2" width="23" bestFit="1" customWidth="1"/>
    <col min="3" max="3" width="8.140625" bestFit="1" customWidth="1"/>
    <col min="4" max="4" width="10.5703125" bestFit="1" customWidth="1"/>
    <col min="5" max="5" width="5.85546875" bestFit="1" customWidth="1"/>
    <col min="6" max="6" width="20.28515625" bestFit="1" customWidth="1"/>
  </cols>
  <sheetData>
    <row r="1" spans="1:6">
      <c r="A1" s="1" t="s">
        <v>0</v>
      </c>
      <c r="B1" s="1" t="s">
        <v>1467</v>
      </c>
      <c r="C1" s="1" t="s">
        <v>1282</v>
      </c>
      <c r="D1" s="1" t="s">
        <v>1366</v>
      </c>
      <c r="E1" s="1" t="s">
        <v>1569</v>
      </c>
      <c r="F1" s="1" t="s">
        <v>1570</v>
      </c>
    </row>
    <row r="2" spans="1:6">
      <c r="A2" s="94" t="s">
        <v>3</v>
      </c>
      <c r="B2" s="39"/>
      <c r="C2" s="39"/>
      <c r="D2" s="39"/>
      <c r="E2" s="39"/>
      <c r="F2" s="39"/>
    </row>
    <row r="3" spans="1:6">
      <c r="A3" s="94" t="s">
        <v>1</v>
      </c>
      <c r="B3" s="39"/>
      <c r="C3" s="39"/>
      <c r="D3" s="39"/>
      <c r="E3" s="39"/>
      <c r="F3" s="39"/>
    </row>
    <row r="4" spans="1:6">
      <c r="A4" s="94" t="s">
        <v>2</v>
      </c>
      <c r="B4" s="39"/>
      <c r="C4" s="39"/>
      <c r="D4" s="39"/>
      <c r="E4" s="39"/>
      <c r="F4" s="39"/>
    </row>
    <row r="5" spans="1:6">
      <c r="A5" s="94" t="s">
        <v>78</v>
      </c>
      <c r="B5" s="39"/>
      <c r="C5" s="39"/>
      <c r="D5" s="39"/>
      <c r="E5" s="39"/>
      <c r="F5" s="39"/>
    </row>
    <row r="6" spans="1:6">
      <c r="A6" s="94" t="s">
        <v>79</v>
      </c>
      <c r="B6" s="39"/>
      <c r="C6" s="39"/>
      <c r="D6" s="39"/>
      <c r="E6" s="39"/>
      <c r="F6" s="39"/>
    </row>
    <row r="7" spans="1:6">
      <c r="A7" s="94" t="s">
        <v>1263</v>
      </c>
      <c r="B7" s="39"/>
      <c r="C7" s="39"/>
      <c r="D7" s="39"/>
      <c r="E7" s="39"/>
      <c r="F7" s="39"/>
    </row>
    <row r="8" spans="1:6">
      <c r="A8" s="94" t="s">
        <v>105</v>
      </c>
      <c r="B8" s="39"/>
      <c r="C8" s="39"/>
      <c r="D8" s="39"/>
      <c r="E8" s="39"/>
      <c r="F8" s="39"/>
    </row>
    <row r="9" spans="1:6">
      <c r="A9" s="94" t="s">
        <v>106</v>
      </c>
      <c r="B9" s="39"/>
      <c r="C9" s="39"/>
      <c r="D9" s="39"/>
      <c r="E9" s="39"/>
      <c r="F9" s="39"/>
    </row>
    <row r="10" spans="1:6">
      <c r="A10" s="94" t="s">
        <v>107</v>
      </c>
      <c r="B10" s="39"/>
      <c r="C10" s="39"/>
      <c r="D10" s="39"/>
      <c r="E10" s="39"/>
      <c r="F10" s="39"/>
    </row>
    <row r="11" spans="1:6">
      <c r="A11" s="94" t="s">
        <v>142</v>
      </c>
      <c r="B11" s="39"/>
      <c r="C11" s="39"/>
      <c r="D11" s="39"/>
      <c r="E11" s="39"/>
      <c r="F11" s="39"/>
    </row>
    <row r="12" spans="1:6">
      <c r="A12" s="94" t="s">
        <v>1264</v>
      </c>
      <c r="B12" s="39"/>
      <c r="C12" s="39"/>
      <c r="D12" s="39"/>
      <c r="E12" s="39"/>
      <c r="F12" s="39"/>
    </row>
    <row r="13" spans="1:6">
      <c r="A13" s="94" t="s">
        <v>144</v>
      </c>
      <c r="B13" s="39"/>
      <c r="C13" s="39"/>
      <c r="D13" s="39"/>
      <c r="E13" s="39"/>
      <c r="F13" s="39"/>
    </row>
    <row r="14" spans="1:6">
      <c r="A14" s="109" t="s">
        <v>171</v>
      </c>
      <c r="B14" s="39"/>
      <c r="C14" s="39"/>
      <c r="D14" s="39"/>
      <c r="E14" s="39"/>
      <c r="F14" s="39"/>
    </row>
    <row r="15" spans="1:6">
      <c r="A15" s="94" t="s">
        <v>172</v>
      </c>
      <c r="B15" s="39"/>
      <c r="C15" s="39"/>
      <c r="D15" s="39"/>
      <c r="E15" s="39"/>
      <c r="F15" s="39"/>
    </row>
    <row r="16" spans="1:6">
      <c r="A16" s="94" t="s">
        <v>173</v>
      </c>
      <c r="B16" s="39"/>
      <c r="C16" s="39"/>
      <c r="D16" s="39"/>
      <c r="E16" s="39"/>
      <c r="F16" s="39"/>
    </row>
    <row r="17" spans="1:6">
      <c r="A17" s="94" t="s">
        <v>197</v>
      </c>
      <c r="B17" s="39"/>
      <c r="C17" s="39"/>
      <c r="D17" s="39"/>
      <c r="E17" s="39"/>
      <c r="F17" s="39"/>
    </row>
    <row r="18" spans="1:6">
      <c r="A18" s="94" t="s">
        <v>199</v>
      </c>
      <c r="B18" s="39"/>
      <c r="C18" s="39"/>
      <c r="D18" s="39"/>
      <c r="E18" s="39"/>
      <c r="F18" s="39"/>
    </row>
    <row r="19" spans="1:6">
      <c r="A19" s="94" t="s">
        <v>198</v>
      </c>
      <c r="B19" s="39"/>
      <c r="C19" s="39"/>
      <c r="D19" s="39"/>
      <c r="E19" s="39"/>
      <c r="F19" s="39"/>
    </row>
    <row r="20" spans="1:6">
      <c r="A20" s="94" t="s">
        <v>229</v>
      </c>
      <c r="B20" s="39"/>
      <c r="C20" s="39"/>
      <c r="D20" s="39"/>
      <c r="E20" s="39"/>
      <c r="F20" s="39"/>
    </row>
    <row r="21" spans="1:6">
      <c r="A21" s="94" t="s">
        <v>230</v>
      </c>
      <c r="B21" s="39"/>
      <c r="C21" s="39"/>
      <c r="D21" s="39"/>
      <c r="E21" s="39"/>
      <c r="F21" s="39"/>
    </row>
    <row r="22" spans="1:6">
      <c r="A22" s="94" t="s">
        <v>231</v>
      </c>
      <c r="B22" s="39"/>
      <c r="C22" s="39"/>
      <c r="D22" s="39"/>
      <c r="E22" s="39"/>
      <c r="F22" s="39"/>
    </row>
    <row r="23" spans="1:6">
      <c r="A23" s="94" t="s">
        <v>264</v>
      </c>
      <c r="B23" s="39"/>
      <c r="C23" s="39"/>
      <c r="D23" s="39"/>
      <c r="E23" s="39"/>
      <c r="F23" s="39"/>
    </row>
    <row r="24" spans="1:6">
      <c r="A24" s="94" t="s">
        <v>265</v>
      </c>
      <c r="B24" s="39"/>
      <c r="C24" s="39"/>
      <c r="D24" s="39"/>
      <c r="E24" s="39"/>
      <c r="F24" s="39"/>
    </row>
    <row r="25" spans="1:6">
      <c r="A25" s="94" t="s">
        <v>266</v>
      </c>
      <c r="B25" s="39"/>
      <c r="C25" s="39"/>
      <c r="D25" s="39"/>
      <c r="E25" s="39"/>
      <c r="F25" s="39"/>
    </row>
    <row r="26" spans="1:6">
      <c r="A26" s="94" t="s">
        <v>302</v>
      </c>
      <c r="B26" s="39"/>
      <c r="C26" s="39"/>
      <c r="D26" s="39"/>
      <c r="E26" s="39"/>
      <c r="F26" s="39"/>
    </row>
    <row r="27" spans="1:6">
      <c r="A27" s="94" t="s">
        <v>1265</v>
      </c>
      <c r="B27" s="39"/>
      <c r="C27" s="39"/>
      <c r="D27" s="39"/>
      <c r="E27" s="39"/>
      <c r="F27" s="39"/>
    </row>
    <row r="28" spans="1:6">
      <c r="A28" s="94" t="s">
        <v>1266</v>
      </c>
      <c r="B28" s="39"/>
      <c r="C28" s="39"/>
      <c r="D28" s="39"/>
      <c r="E28" s="39"/>
      <c r="F28" s="39"/>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9"/>
  <dimension ref="A1:H31"/>
  <sheetViews>
    <sheetView zoomScaleNormal="100" workbookViewId="0">
      <selection activeCell="B23" sqref="B23"/>
    </sheetView>
  </sheetViews>
  <sheetFormatPr baseColWidth="10" defaultRowHeight="15"/>
  <cols>
    <col min="1" max="1" width="16.5703125" bestFit="1" customWidth="1"/>
    <col min="2" max="2" width="31" bestFit="1" customWidth="1"/>
    <col min="3" max="3" width="93.5703125" bestFit="1" customWidth="1"/>
    <col min="4" max="4" width="38.140625" bestFit="1" customWidth="1"/>
    <col min="5" max="5" width="19.5703125" bestFit="1" customWidth="1"/>
    <col min="6" max="6" width="38.85546875" bestFit="1" customWidth="1"/>
    <col min="7" max="7" width="42.85546875" bestFit="1" customWidth="1"/>
    <col min="8" max="8" width="12.5703125" bestFit="1" customWidth="1"/>
  </cols>
  <sheetData>
    <row r="1" spans="1:8">
      <c r="A1" s="1" t="s">
        <v>0</v>
      </c>
      <c r="B1" s="1" t="s">
        <v>1365</v>
      </c>
      <c r="C1" s="1" t="s">
        <v>1468</v>
      </c>
      <c r="D1" s="1" t="s">
        <v>1470</v>
      </c>
      <c r="E1" s="1" t="s">
        <v>1366</v>
      </c>
      <c r="F1" s="1" t="s">
        <v>1516</v>
      </c>
      <c r="G1" s="1" t="s">
        <v>1486</v>
      </c>
      <c r="H1" s="142" t="s">
        <v>1537</v>
      </c>
    </row>
    <row r="2" spans="1:8">
      <c r="A2" s="94" t="s">
        <v>3</v>
      </c>
      <c r="B2" s="39" t="s">
        <v>1345</v>
      </c>
      <c r="C2" s="39" t="s">
        <v>1345</v>
      </c>
      <c r="D2" s="39" t="s">
        <v>1345</v>
      </c>
      <c r="E2" s="39" t="s">
        <v>1345</v>
      </c>
      <c r="F2" s="39" t="s">
        <v>1345</v>
      </c>
      <c r="G2" s="39" t="s">
        <v>1345</v>
      </c>
      <c r="H2" s="39" t="s">
        <v>1345</v>
      </c>
    </row>
    <row r="3" spans="1:8">
      <c r="A3" s="94" t="s">
        <v>1</v>
      </c>
      <c r="B3" s="39" t="s">
        <v>1471</v>
      </c>
      <c r="C3" s="39" t="s">
        <v>1319</v>
      </c>
      <c r="D3" s="39" t="s">
        <v>1472</v>
      </c>
      <c r="E3" s="39" t="s">
        <v>1473</v>
      </c>
      <c r="F3" s="39" t="s">
        <v>1345</v>
      </c>
      <c r="G3" s="137">
        <f>795</f>
        <v>795</v>
      </c>
      <c r="H3" s="39" t="s">
        <v>1345</v>
      </c>
    </row>
    <row r="4" spans="1:8">
      <c r="A4" s="94" t="s">
        <v>2</v>
      </c>
      <c r="B4" s="39" t="s">
        <v>1474</v>
      </c>
      <c r="C4" s="39" t="s">
        <v>1475</v>
      </c>
      <c r="D4" s="39" t="s">
        <v>1476</v>
      </c>
      <c r="E4" s="39" t="s">
        <v>1477</v>
      </c>
      <c r="F4" s="39" t="s">
        <v>1345</v>
      </c>
      <c r="G4" s="39" t="s">
        <v>1345</v>
      </c>
      <c r="H4" s="39" t="s">
        <v>1345</v>
      </c>
    </row>
    <row r="5" spans="1:8">
      <c r="A5" s="94" t="s">
        <v>78</v>
      </c>
      <c r="B5" s="39" t="s">
        <v>1478</v>
      </c>
      <c r="C5" s="39" t="s">
        <v>1479</v>
      </c>
      <c r="D5" s="39" t="s">
        <v>1481</v>
      </c>
      <c r="E5" s="39" t="s">
        <v>1480</v>
      </c>
      <c r="F5" s="39" t="s">
        <v>1345</v>
      </c>
      <c r="G5" s="39" t="s">
        <v>1345</v>
      </c>
      <c r="H5" s="39" t="s">
        <v>1345</v>
      </c>
    </row>
    <row r="6" spans="1:8">
      <c r="A6" s="94" t="s">
        <v>79</v>
      </c>
      <c r="B6" s="39" t="s">
        <v>1485</v>
      </c>
      <c r="C6" s="39" t="s">
        <v>1483</v>
      </c>
      <c r="D6" s="136" t="s">
        <v>1484</v>
      </c>
      <c r="E6" s="39" t="s">
        <v>1482</v>
      </c>
      <c r="F6" s="39" t="s">
        <v>1345</v>
      </c>
      <c r="G6" s="137">
        <f>468</f>
        <v>468</v>
      </c>
      <c r="H6" s="39" t="s">
        <v>1345</v>
      </c>
    </row>
    <row r="7" spans="1:8">
      <c r="A7" s="94" t="s">
        <v>1263</v>
      </c>
      <c r="B7" s="39" t="s">
        <v>1345</v>
      </c>
      <c r="C7" s="39" t="s">
        <v>1345</v>
      </c>
      <c r="D7" s="39" t="s">
        <v>1345</v>
      </c>
      <c r="E7" s="39" t="s">
        <v>1345</v>
      </c>
      <c r="F7" s="39" t="s">
        <v>1345</v>
      </c>
      <c r="G7" s="39" t="s">
        <v>1345</v>
      </c>
      <c r="H7" s="39" t="s">
        <v>1345</v>
      </c>
    </row>
    <row r="8" spans="1:8">
      <c r="A8" s="94" t="s">
        <v>105</v>
      </c>
      <c r="B8" s="39" t="s">
        <v>1487</v>
      </c>
      <c r="C8" s="39" t="s">
        <v>1490</v>
      </c>
      <c r="D8" s="39" t="s">
        <v>1488</v>
      </c>
      <c r="E8" s="39" t="s">
        <v>1489</v>
      </c>
      <c r="F8" s="39" t="s">
        <v>1345</v>
      </c>
      <c r="G8" s="137">
        <f>250</f>
        <v>250</v>
      </c>
      <c r="H8" s="39" t="s">
        <v>1345</v>
      </c>
    </row>
    <row r="9" spans="1:8">
      <c r="A9" s="94" t="s">
        <v>106</v>
      </c>
      <c r="B9" s="39" t="s">
        <v>1491</v>
      </c>
      <c r="C9" s="39" t="s">
        <v>1492</v>
      </c>
      <c r="D9" s="39" t="s">
        <v>1494</v>
      </c>
      <c r="E9" s="39" t="s">
        <v>1493</v>
      </c>
      <c r="F9" s="39" t="s">
        <v>1345</v>
      </c>
      <c r="G9" s="39" t="s">
        <v>1345</v>
      </c>
      <c r="H9" s="39" t="s">
        <v>1345</v>
      </c>
    </row>
    <row r="10" spans="1:8">
      <c r="A10" s="94" t="s">
        <v>107</v>
      </c>
      <c r="B10" s="39" t="s">
        <v>1495</v>
      </c>
      <c r="C10" s="39" t="s">
        <v>1497</v>
      </c>
      <c r="D10" s="39" t="s">
        <v>1498</v>
      </c>
      <c r="E10" s="39" t="s">
        <v>1496</v>
      </c>
      <c r="F10" s="39" t="s">
        <v>1345</v>
      </c>
      <c r="G10" s="39" t="s">
        <v>1345</v>
      </c>
      <c r="H10" s="39" t="s">
        <v>1345</v>
      </c>
    </row>
    <row r="11" spans="1:8">
      <c r="A11" s="94" t="s">
        <v>142</v>
      </c>
      <c r="B11" s="39" t="s">
        <v>1499</v>
      </c>
      <c r="C11" s="39" t="s">
        <v>1500</v>
      </c>
      <c r="D11" s="39" t="s">
        <v>1502</v>
      </c>
      <c r="E11" s="39" t="s">
        <v>1501</v>
      </c>
      <c r="F11" s="39" t="s">
        <v>1345</v>
      </c>
      <c r="G11" s="138">
        <f>50</f>
        <v>50</v>
      </c>
      <c r="H11" s="39" t="s">
        <v>1345</v>
      </c>
    </row>
    <row r="12" spans="1:8">
      <c r="A12" s="94" t="s">
        <v>1264</v>
      </c>
      <c r="B12" s="94" t="s">
        <v>1503</v>
      </c>
      <c r="C12" s="39" t="s">
        <v>1506</v>
      </c>
      <c r="D12" s="39" t="s">
        <v>1504</v>
      </c>
      <c r="E12" s="39" t="s">
        <v>1505</v>
      </c>
      <c r="F12" s="39" t="s">
        <v>1345</v>
      </c>
      <c r="G12" s="39" t="s">
        <v>1345</v>
      </c>
      <c r="H12" s="39" t="s">
        <v>1345</v>
      </c>
    </row>
    <row r="13" spans="1:8">
      <c r="A13" s="94" t="s">
        <v>144</v>
      </c>
      <c r="B13" s="39" t="s">
        <v>1507</v>
      </c>
      <c r="C13" s="39" t="s">
        <v>1508</v>
      </c>
      <c r="D13" s="39" t="s">
        <v>1510</v>
      </c>
      <c r="E13" s="39" t="s">
        <v>1509</v>
      </c>
      <c r="F13" s="39" t="s">
        <v>1345</v>
      </c>
      <c r="G13" s="139">
        <f>435</f>
        <v>435</v>
      </c>
      <c r="H13" s="39" t="s">
        <v>1345</v>
      </c>
    </row>
    <row r="14" spans="1:8">
      <c r="A14" s="109" t="s">
        <v>171</v>
      </c>
      <c r="B14" s="39" t="s">
        <v>1511</v>
      </c>
      <c r="C14" s="39" t="s">
        <v>1512</v>
      </c>
      <c r="D14" s="39" t="s">
        <v>1345</v>
      </c>
      <c r="E14" s="39" t="s">
        <v>1513</v>
      </c>
      <c r="F14" s="39" t="s">
        <v>1345</v>
      </c>
      <c r="G14" s="140">
        <f>190</f>
        <v>190</v>
      </c>
      <c r="H14" s="39" t="s">
        <v>1345</v>
      </c>
    </row>
    <row r="15" spans="1:8">
      <c r="A15" s="94" t="s">
        <v>172</v>
      </c>
      <c r="B15" s="39" t="s">
        <v>1514</v>
      </c>
      <c r="C15" s="39" t="s">
        <v>1515</v>
      </c>
      <c r="D15" s="39" t="s">
        <v>1517</v>
      </c>
      <c r="E15" s="39" t="s">
        <v>1518</v>
      </c>
      <c r="F15" s="39" t="s">
        <v>1345</v>
      </c>
      <c r="G15" s="138">
        <f>109</f>
        <v>109</v>
      </c>
      <c r="H15" s="39" t="s">
        <v>1345</v>
      </c>
    </row>
    <row r="16" spans="1:8">
      <c r="A16" s="94" t="s">
        <v>173</v>
      </c>
      <c r="B16" s="39" t="s">
        <v>1519</v>
      </c>
      <c r="C16" s="39" t="s">
        <v>1521</v>
      </c>
      <c r="D16" s="39" t="s">
        <v>1522</v>
      </c>
      <c r="E16" s="39" t="s">
        <v>1520</v>
      </c>
      <c r="F16" s="39" t="s">
        <v>1345</v>
      </c>
      <c r="G16" s="39" t="s">
        <v>1345</v>
      </c>
      <c r="H16" s="39" t="s">
        <v>1345</v>
      </c>
    </row>
    <row r="17" spans="1:8">
      <c r="A17" s="94" t="s">
        <v>197</v>
      </c>
      <c r="B17" s="39" t="s">
        <v>1345</v>
      </c>
      <c r="C17" s="39" t="s">
        <v>1345</v>
      </c>
      <c r="D17" s="39" t="s">
        <v>1345</v>
      </c>
      <c r="E17" s="39" t="s">
        <v>1345</v>
      </c>
      <c r="F17" s="39" t="s">
        <v>1345</v>
      </c>
      <c r="G17" s="39" t="s">
        <v>1345</v>
      </c>
      <c r="H17" s="39" t="s">
        <v>1345</v>
      </c>
    </row>
    <row r="18" spans="1:8">
      <c r="A18" s="94" t="s">
        <v>199</v>
      </c>
      <c r="B18" s="39" t="s">
        <v>1523</v>
      </c>
      <c r="C18" s="39" t="s">
        <v>1524</v>
      </c>
      <c r="D18" s="39" t="s">
        <v>1525</v>
      </c>
      <c r="E18" s="39" t="s">
        <v>1526</v>
      </c>
      <c r="F18" s="39" t="s">
        <v>1345</v>
      </c>
      <c r="G18" s="39" t="s">
        <v>1345</v>
      </c>
      <c r="H18" s="39" t="s">
        <v>1345</v>
      </c>
    </row>
    <row r="19" spans="1:8">
      <c r="A19" s="94" t="s">
        <v>198</v>
      </c>
      <c r="B19" s="39" t="s">
        <v>1345</v>
      </c>
      <c r="C19" s="39" t="s">
        <v>1345</v>
      </c>
      <c r="D19" s="39" t="s">
        <v>1345</v>
      </c>
      <c r="E19" s="39" t="s">
        <v>1345</v>
      </c>
      <c r="F19" s="39" t="s">
        <v>1345</v>
      </c>
      <c r="G19" s="39" t="s">
        <v>1345</v>
      </c>
      <c r="H19" s="39" t="s">
        <v>1345</v>
      </c>
    </row>
    <row r="20" spans="1:8">
      <c r="A20" s="94" t="s">
        <v>229</v>
      </c>
      <c r="B20" s="39" t="s">
        <v>1529</v>
      </c>
      <c r="C20" s="39" t="s">
        <v>1530</v>
      </c>
      <c r="D20" s="39" t="s">
        <v>1531</v>
      </c>
      <c r="E20" s="39" t="s">
        <v>1532</v>
      </c>
      <c r="F20" s="39" t="s">
        <v>1345</v>
      </c>
      <c r="G20" s="140">
        <f>163.06</f>
        <v>163.06</v>
      </c>
      <c r="H20" s="39" t="s">
        <v>1345</v>
      </c>
    </row>
    <row r="21" spans="1:8">
      <c r="A21" s="94" t="s">
        <v>230</v>
      </c>
      <c r="B21" s="39" t="s">
        <v>1533</v>
      </c>
      <c r="C21" s="39" t="s">
        <v>1534</v>
      </c>
      <c r="D21" s="136" t="s">
        <v>1535</v>
      </c>
      <c r="E21" s="39" t="s">
        <v>1536</v>
      </c>
      <c r="F21" s="39" t="s">
        <v>1345</v>
      </c>
      <c r="G21" s="141">
        <f>1050</f>
        <v>1050</v>
      </c>
      <c r="H21" s="144">
        <f>700</f>
        <v>700</v>
      </c>
    </row>
    <row r="22" spans="1:8">
      <c r="A22" s="94" t="s">
        <v>231</v>
      </c>
      <c r="B22" s="39" t="s">
        <v>1539</v>
      </c>
      <c r="C22" s="39" t="s">
        <v>1540</v>
      </c>
      <c r="D22" s="39"/>
      <c r="E22" s="39" t="s">
        <v>1538</v>
      </c>
      <c r="F22" s="39" t="s">
        <v>1345</v>
      </c>
      <c r="G22" s="140" t="s">
        <v>1345</v>
      </c>
      <c r="H22" s="143" t="s">
        <v>1345</v>
      </c>
    </row>
    <row r="23" spans="1:8">
      <c r="A23" s="94" t="s">
        <v>264</v>
      </c>
      <c r="B23" s="39"/>
      <c r="C23" s="39"/>
      <c r="D23" s="39"/>
      <c r="E23" s="39"/>
      <c r="F23" s="39"/>
      <c r="G23" s="39"/>
      <c r="H23" s="143"/>
    </row>
    <row r="24" spans="1:8">
      <c r="A24" s="94" t="s">
        <v>265</v>
      </c>
      <c r="B24" s="39" t="s">
        <v>1541</v>
      </c>
      <c r="C24" s="39" t="s">
        <v>1544</v>
      </c>
      <c r="D24" s="39" t="s">
        <v>1542</v>
      </c>
      <c r="E24" s="39" t="s">
        <v>1543</v>
      </c>
      <c r="F24" s="39" t="s">
        <v>1345</v>
      </c>
      <c r="G24" s="39" t="s">
        <v>1345</v>
      </c>
      <c r="H24" s="143" t="s">
        <v>1345</v>
      </c>
    </row>
    <row r="25" spans="1:8">
      <c r="A25" s="94" t="s">
        <v>266</v>
      </c>
      <c r="B25" s="39" t="s">
        <v>1545</v>
      </c>
      <c r="C25" s="39" t="s">
        <v>1546</v>
      </c>
      <c r="D25" s="39" t="s">
        <v>1548</v>
      </c>
      <c r="E25" s="39" t="s">
        <v>1547</v>
      </c>
      <c r="F25" s="39" t="s">
        <v>1345</v>
      </c>
      <c r="G25" s="145">
        <f>200</f>
        <v>200</v>
      </c>
      <c r="H25" s="143" t="s">
        <v>1345</v>
      </c>
    </row>
    <row r="26" spans="1:8">
      <c r="A26" s="94" t="s">
        <v>302</v>
      </c>
      <c r="B26" s="39" t="s">
        <v>1549</v>
      </c>
      <c r="C26" s="39" t="s">
        <v>1551</v>
      </c>
      <c r="D26" s="39" t="s">
        <v>1498</v>
      </c>
      <c r="E26" s="39" t="s">
        <v>1550</v>
      </c>
      <c r="F26" s="39" t="s">
        <v>1345</v>
      </c>
      <c r="G26" s="146">
        <f>252</f>
        <v>252</v>
      </c>
      <c r="H26" s="143" t="s">
        <v>1345</v>
      </c>
    </row>
    <row r="27" spans="1:8">
      <c r="A27" s="94" t="s">
        <v>1265</v>
      </c>
      <c r="B27" s="39" t="s">
        <v>1552</v>
      </c>
      <c r="C27" s="39" t="s">
        <v>1554</v>
      </c>
      <c r="D27" s="39" t="s">
        <v>1553</v>
      </c>
      <c r="E27" s="39" t="s">
        <v>1555</v>
      </c>
      <c r="F27" s="39" t="s">
        <v>1345</v>
      </c>
      <c r="G27" s="39" t="s">
        <v>1345</v>
      </c>
      <c r="H27" s="143" t="s">
        <v>1345</v>
      </c>
    </row>
    <row r="28" spans="1:8">
      <c r="A28" s="94" t="s">
        <v>1266</v>
      </c>
      <c r="B28" s="39" t="s">
        <v>1552</v>
      </c>
      <c r="C28" s="39" t="s">
        <v>1554</v>
      </c>
      <c r="D28" s="39" t="s">
        <v>1553</v>
      </c>
      <c r="E28" s="39" t="s">
        <v>1556</v>
      </c>
      <c r="F28" s="39" t="s">
        <v>1345</v>
      </c>
      <c r="G28" s="39" t="s">
        <v>1345</v>
      </c>
      <c r="H28" s="143" t="s">
        <v>1345</v>
      </c>
    </row>
    <row r="31" spans="1:8">
      <c r="C31" s="151"/>
    </row>
  </sheetData>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28"/>
  <sheetViews>
    <sheetView workbookViewId="0">
      <selection activeCell="B1" sqref="B1:B28"/>
    </sheetView>
  </sheetViews>
  <sheetFormatPr baseColWidth="10" defaultRowHeight="15"/>
  <cols>
    <col min="1" max="1" width="19.140625" bestFit="1" customWidth="1"/>
    <col min="2" max="2" width="14.85546875" bestFit="1" customWidth="1"/>
  </cols>
  <sheetData>
    <row r="1" spans="1:2">
      <c r="A1" s="1" t="s">
        <v>0</v>
      </c>
      <c r="B1" s="1" t="s">
        <v>1463</v>
      </c>
    </row>
    <row r="2" spans="1:2">
      <c r="A2" s="92" t="s">
        <v>3</v>
      </c>
      <c r="B2" s="92" t="s">
        <v>5</v>
      </c>
    </row>
    <row r="3" spans="1:2">
      <c r="A3" s="92" t="s">
        <v>1</v>
      </c>
      <c r="B3" s="92" t="s">
        <v>5</v>
      </c>
    </row>
    <row r="4" spans="1:2">
      <c r="A4" s="92" t="s">
        <v>2</v>
      </c>
      <c r="B4" s="92" t="s">
        <v>5</v>
      </c>
    </row>
    <row r="5" spans="1:2">
      <c r="A5" s="91" t="s">
        <v>78</v>
      </c>
      <c r="B5" s="91" t="s">
        <v>1345</v>
      </c>
    </row>
    <row r="6" spans="1:2">
      <c r="A6" s="92" t="s">
        <v>79</v>
      </c>
      <c r="B6" s="92" t="s">
        <v>5</v>
      </c>
    </row>
    <row r="7" spans="1:2">
      <c r="A7" s="92" t="s">
        <v>80</v>
      </c>
      <c r="B7" s="92" t="s">
        <v>5</v>
      </c>
    </row>
    <row r="8" spans="1:2">
      <c r="A8" s="92" t="s">
        <v>105</v>
      </c>
      <c r="B8" s="92" t="s">
        <v>5</v>
      </c>
    </row>
    <row r="9" spans="1:2">
      <c r="A9" s="91" t="s">
        <v>106</v>
      </c>
      <c r="B9" s="91" t="s">
        <v>1345</v>
      </c>
    </row>
    <row r="10" spans="1:2">
      <c r="A10" s="92" t="s">
        <v>107</v>
      </c>
      <c r="B10" s="92" t="s">
        <v>5</v>
      </c>
    </row>
    <row r="11" spans="1:2">
      <c r="A11" s="92" t="s">
        <v>142</v>
      </c>
      <c r="B11" s="92" t="s">
        <v>5</v>
      </c>
    </row>
    <row r="12" spans="1:2">
      <c r="A12" s="92" t="s">
        <v>1264</v>
      </c>
      <c r="B12" s="92" t="s">
        <v>5</v>
      </c>
    </row>
    <row r="13" spans="1:2">
      <c r="A13" s="92" t="s">
        <v>144</v>
      </c>
      <c r="B13" s="92" t="s">
        <v>5</v>
      </c>
    </row>
    <row r="14" spans="1:2">
      <c r="A14" s="7" t="s">
        <v>171</v>
      </c>
      <c r="B14" s="92" t="s">
        <v>5</v>
      </c>
    </row>
    <row r="15" spans="1:2">
      <c r="A15" s="92" t="s">
        <v>172</v>
      </c>
      <c r="B15" s="92" t="s">
        <v>5</v>
      </c>
    </row>
    <row r="16" spans="1:2">
      <c r="A16" s="92" t="s">
        <v>173</v>
      </c>
      <c r="B16" s="92" t="s">
        <v>5</v>
      </c>
    </row>
    <row r="17" spans="1:2">
      <c r="A17" s="91" t="s">
        <v>197</v>
      </c>
      <c r="B17" s="91" t="s">
        <v>41</v>
      </c>
    </row>
    <row r="18" spans="1:2">
      <c r="A18" s="92" t="s">
        <v>199</v>
      </c>
      <c r="B18" s="92" t="s">
        <v>5</v>
      </c>
    </row>
    <row r="19" spans="1:2">
      <c r="A19" s="92" t="s">
        <v>198</v>
      </c>
      <c r="B19" s="92" t="s">
        <v>5</v>
      </c>
    </row>
    <row r="20" spans="1:2">
      <c r="A20" s="92" t="s">
        <v>229</v>
      </c>
      <c r="B20" s="92" t="s">
        <v>5</v>
      </c>
    </row>
    <row r="21" spans="1:2">
      <c r="A21" s="92" t="s">
        <v>230</v>
      </c>
      <c r="B21" s="92" t="s">
        <v>5</v>
      </c>
    </row>
    <row r="22" spans="1:2">
      <c r="A22" s="92" t="s">
        <v>231</v>
      </c>
      <c r="B22" s="92" t="s">
        <v>5</v>
      </c>
    </row>
    <row r="23" spans="1:2">
      <c r="A23" s="92" t="s">
        <v>264</v>
      </c>
      <c r="B23" s="92" t="s">
        <v>5</v>
      </c>
    </row>
    <row r="24" spans="1:2">
      <c r="A24" s="91" t="s">
        <v>265</v>
      </c>
      <c r="B24" s="91" t="s">
        <v>1345</v>
      </c>
    </row>
    <row r="25" spans="1:2">
      <c r="A25" s="92" t="s">
        <v>266</v>
      </c>
      <c r="B25" s="92" t="s">
        <v>5</v>
      </c>
    </row>
    <row r="26" spans="1:2">
      <c r="A26" s="91" t="s">
        <v>302</v>
      </c>
      <c r="B26" s="91" t="s">
        <v>41</v>
      </c>
    </row>
    <row r="27" spans="1:2">
      <c r="A27" s="92" t="s">
        <v>1265</v>
      </c>
      <c r="B27" s="92" t="s">
        <v>5</v>
      </c>
    </row>
    <row r="28" spans="1:2">
      <c r="A28" s="92" t="s">
        <v>1266</v>
      </c>
      <c r="B28" s="92" t="s">
        <v>5</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election activeCell="I30" sqref="I30"/>
    </sheetView>
  </sheetViews>
  <sheetFormatPr baseColWidth="10" defaultRowHeight="15"/>
  <cols>
    <col min="1" max="1" width="14.5703125" bestFit="1" customWidth="1"/>
    <col min="2" max="2" width="13.5703125" bestFit="1" customWidth="1"/>
  </cols>
  <sheetData>
    <row r="1" spans="1:2">
      <c r="A1" s="1" t="s">
        <v>0</v>
      </c>
      <c r="B1" s="1" t="s">
        <v>2054</v>
      </c>
    </row>
    <row r="2" spans="1:2">
      <c r="A2" s="94" t="s">
        <v>3</v>
      </c>
      <c r="B2" s="39"/>
    </row>
    <row r="3" spans="1:2">
      <c r="A3" s="94" t="s">
        <v>1</v>
      </c>
      <c r="B3" s="39"/>
    </row>
    <row r="4" spans="1:2">
      <c r="A4" s="94" t="s">
        <v>2</v>
      </c>
      <c r="B4" s="39"/>
    </row>
    <row r="5" spans="1:2">
      <c r="A5" s="94" t="s">
        <v>78</v>
      </c>
      <c r="B5" s="39"/>
    </row>
    <row r="6" spans="1:2">
      <c r="A6" s="94" t="s">
        <v>79</v>
      </c>
      <c r="B6" s="39"/>
    </row>
    <row r="7" spans="1:2">
      <c r="A7" s="94" t="s">
        <v>1263</v>
      </c>
      <c r="B7" s="39"/>
    </row>
    <row r="8" spans="1:2">
      <c r="A8" s="94" t="s">
        <v>105</v>
      </c>
      <c r="B8" s="39"/>
    </row>
    <row r="9" spans="1:2">
      <c r="A9" s="94" t="s">
        <v>106</v>
      </c>
      <c r="B9" s="39"/>
    </row>
    <row r="10" spans="1:2">
      <c r="A10" s="94" t="s">
        <v>107</v>
      </c>
      <c r="B10" s="39"/>
    </row>
    <row r="11" spans="1:2">
      <c r="A11" s="94" t="s">
        <v>142</v>
      </c>
      <c r="B11" s="39"/>
    </row>
    <row r="12" spans="1:2">
      <c r="A12" s="94" t="s">
        <v>1264</v>
      </c>
      <c r="B12" s="39"/>
    </row>
    <row r="13" spans="1:2">
      <c r="A13" s="94" t="s">
        <v>144</v>
      </c>
      <c r="B13" s="39"/>
    </row>
    <row r="14" spans="1:2">
      <c r="A14" s="109" t="s">
        <v>171</v>
      </c>
      <c r="B14" s="39"/>
    </row>
    <row r="15" spans="1:2">
      <c r="A15" s="94" t="s">
        <v>172</v>
      </c>
      <c r="B15" s="39"/>
    </row>
    <row r="16" spans="1:2">
      <c r="A16" s="94" t="s">
        <v>173</v>
      </c>
      <c r="B16" s="39"/>
    </row>
    <row r="17" spans="1:2">
      <c r="A17" s="94" t="s">
        <v>197</v>
      </c>
      <c r="B17" s="39"/>
    </row>
    <row r="18" spans="1:2">
      <c r="A18" s="94" t="s">
        <v>199</v>
      </c>
      <c r="B18" s="39"/>
    </row>
    <row r="19" spans="1:2">
      <c r="A19" s="94" t="s">
        <v>198</v>
      </c>
      <c r="B19" s="39"/>
    </row>
    <row r="20" spans="1:2">
      <c r="A20" s="94" t="s">
        <v>229</v>
      </c>
      <c r="B20" s="39"/>
    </row>
    <row r="21" spans="1:2">
      <c r="A21" s="94" t="s">
        <v>230</v>
      </c>
      <c r="B21" s="39"/>
    </row>
    <row r="22" spans="1:2">
      <c r="A22" s="94" t="s">
        <v>231</v>
      </c>
      <c r="B22" s="39"/>
    </row>
    <row r="23" spans="1:2">
      <c r="A23" s="94" t="s">
        <v>264</v>
      </c>
      <c r="B23" s="39"/>
    </row>
    <row r="24" spans="1:2">
      <c r="A24" s="94" t="s">
        <v>265</v>
      </c>
      <c r="B24" s="39"/>
    </row>
    <row r="25" spans="1:2">
      <c r="A25" s="94" t="s">
        <v>266</v>
      </c>
      <c r="B25" s="39"/>
    </row>
    <row r="26" spans="1:2">
      <c r="A26" s="94" t="s">
        <v>302</v>
      </c>
      <c r="B26" s="39"/>
    </row>
    <row r="27" spans="1:2">
      <c r="A27" s="94" t="s">
        <v>1265</v>
      </c>
      <c r="B27" s="39"/>
    </row>
    <row r="28" spans="1:2">
      <c r="A28" s="94" t="s">
        <v>1266</v>
      </c>
      <c r="B28" s="39"/>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dimension ref="A1:C28"/>
  <sheetViews>
    <sheetView workbookViewId="0">
      <selection sqref="A1:C28"/>
    </sheetView>
  </sheetViews>
  <sheetFormatPr baseColWidth="10" defaultRowHeight="15"/>
  <cols>
    <col min="1" max="1" width="14.5703125" bestFit="1" customWidth="1"/>
    <col min="2" max="2" width="106.140625" bestFit="1" customWidth="1"/>
    <col min="3" max="3" width="44.28515625" bestFit="1" customWidth="1"/>
  </cols>
  <sheetData>
    <row r="1" spans="1:3">
      <c r="A1" s="1" t="s">
        <v>0</v>
      </c>
      <c r="B1" s="1" t="s">
        <v>1310</v>
      </c>
      <c r="C1" s="1" t="s">
        <v>1311</v>
      </c>
    </row>
    <row r="2" spans="1:3">
      <c r="A2" s="94" t="s">
        <v>3</v>
      </c>
      <c r="B2" s="94">
        <f>14.5</f>
        <v>14.5</v>
      </c>
      <c r="C2" s="94">
        <f>9</f>
        <v>9</v>
      </c>
    </row>
    <row r="3" spans="1:3">
      <c r="A3" s="94" t="s">
        <v>1</v>
      </c>
      <c r="B3" s="94">
        <f>5.9</f>
        <v>5.9</v>
      </c>
      <c r="C3" s="94">
        <f>3.9</f>
        <v>3.9</v>
      </c>
    </row>
    <row r="4" spans="1:3">
      <c r="A4" s="94" t="s">
        <v>2</v>
      </c>
      <c r="B4" s="94">
        <f>11.25</f>
        <v>11.25</v>
      </c>
      <c r="C4" s="94">
        <f>10.1</f>
        <v>10.1</v>
      </c>
    </row>
    <row r="5" spans="1:3">
      <c r="A5" s="94" t="s">
        <v>78</v>
      </c>
      <c r="B5" s="94" t="s">
        <v>1345</v>
      </c>
      <c r="C5" s="94" t="s">
        <v>1345</v>
      </c>
    </row>
    <row r="6" spans="1:3">
      <c r="A6" s="94" t="s">
        <v>79</v>
      </c>
      <c r="B6" s="94" t="s">
        <v>1345</v>
      </c>
      <c r="C6" s="94" t="s">
        <v>1345</v>
      </c>
    </row>
    <row r="7" spans="1:3">
      <c r="A7" s="94" t="s">
        <v>1263</v>
      </c>
      <c r="B7" s="94" t="s">
        <v>1368</v>
      </c>
      <c r="C7" s="94" t="s">
        <v>1369</v>
      </c>
    </row>
    <row r="8" spans="1:3">
      <c r="A8" s="94" t="s">
        <v>105</v>
      </c>
      <c r="B8" s="94">
        <v>0</v>
      </c>
      <c r="C8" s="94">
        <v>0</v>
      </c>
    </row>
    <row r="9" spans="1:3">
      <c r="A9" s="94" t="s">
        <v>106</v>
      </c>
      <c r="B9" s="94">
        <f>7.8</f>
        <v>7.8</v>
      </c>
      <c r="C9" s="94">
        <f>7.8</f>
        <v>7.8</v>
      </c>
    </row>
    <row r="10" spans="1:3">
      <c r="A10" s="94" t="s">
        <v>107</v>
      </c>
      <c r="B10" s="94">
        <f>26</f>
        <v>26</v>
      </c>
      <c r="C10" s="94">
        <f>14</f>
        <v>14</v>
      </c>
    </row>
    <row r="11" spans="1:3">
      <c r="A11" s="94" t="s">
        <v>142</v>
      </c>
      <c r="B11" s="94" t="s">
        <v>1370</v>
      </c>
      <c r="C11" s="94" t="s">
        <v>1371</v>
      </c>
    </row>
    <row r="12" spans="1:3">
      <c r="A12" s="94" t="s">
        <v>1285</v>
      </c>
      <c r="B12" s="94">
        <f>6.6</f>
        <v>6.6</v>
      </c>
      <c r="C12" s="94">
        <f>6.6</f>
        <v>6.6</v>
      </c>
    </row>
    <row r="13" spans="1:3">
      <c r="A13" s="94" t="s">
        <v>144</v>
      </c>
      <c r="B13" s="94">
        <f>0</f>
        <v>0</v>
      </c>
      <c r="C13" s="94">
        <f>0</f>
        <v>0</v>
      </c>
    </row>
    <row r="14" spans="1:3">
      <c r="A14" s="94" t="s">
        <v>171</v>
      </c>
      <c r="B14" s="94">
        <f>10.75</f>
        <v>10.75</v>
      </c>
      <c r="C14" s="94">
        <f>4</f>
        <v>4</v>
      </c>
    </row>
    <row r="15" spans="1:3">
      <c r="A15" s="94" t="s">
        <v>172</v>
      </c>
      <c r="B15" s="94" t="s">
        <v>1345</v>
      </c>
      <c r="C15" s="94" t="s">
        <v>1345</v>
      </c>
    </row>
    <row r="16" spans="1:3">
      <c r="A16" s="94" t="s">
        <v>173</v>
      </c>
      <c r="B16" s="94" t="s">
        <v>1372</v>
      </c>
      <c r="C16" s="94">
        <f>6</f>
        <v>6</v>
      </c>
    </row>
    <row r="17" spans="1:3">
      <c r="A17" s="94" t="s">
        <v>197</v>
      </c>
      <c r="B17" s="94" t="s">
        <v>1345</v>
      </c>
      <c r="C17" s="94" t="s">
        <v>1345</v>
      </c>
    </row>
    <row r="18" spans="1:3">
      <c r="A18" s="94" t="s">
        <v>199</v>
      </c>
      <c r="B18" s="94">
        <f>30.98</f>
        <v>30.98</v>
      </c>
      <c r="C18" s="94">
        <f>11</f>
        <v>11</v>
      </c>
    </row>
    <row r="19" spans="1:3">
      <c r="A19" s="94" t="s">
        <v>198</v>
      </c>
      <c r="B19" s="94">
        <f>12.67</f>
        <v>12.67</v>
      </c>
      <c r="C19" s="94">
        <f>12.45</f>
        <v>12.45</v>
      </c>
    </row>
    <row r="20" spans="1:3">
      <c r="A20" s="94" t="s">
        <v>229</v>
      </c>
      <c r="B20" s="94">
        <f>10</f>
        <v>10</v>
      </c>
      <c r="C20" s="94">
        <f>10</f>
        <v>10</v>
      </c>
    </row>
    <row r="21" spans="1:3">
      <c r="A21" s="94" t="s">
        <v>230</v>
      </c>
      <c r="B21" s="94">
        <f>6</f>
        <v>6</v>
      </c>
      <c r="C21" s="94">
        <f>3</f>
        <v>3</v>
      </c>
    </row>
    <row r="22" spans="1:3">
      <c r="A22" s="94" t="s">
        <v>231</v>
      </c>
      <c r="B22" s="94">
        <f>18.69</f>
        <v>18.690000000000001</v>
      </c>
      <c r="C22" s="94">
        <f>27.65</f>
        <v>27.65</v>
      </c>
    </row>
    <row r="23" spans="1:3">
      <c r="A23" s="94" t="s">
        <v>264</v>
      </c>
      <c r="B23" s="94">
        <f>12.5</f>
        <v>12.5</v>
      </c>
      <c r="C23" s="94">
        <f>9.75</f>
        <v>9.75</v>
      </c>
    </row>
    <row r="24" spans="1:3">
      <c r="A24" s="94" t="s">
        <v>265</v>
      </c>
      <c r="B24" s="94">
        <f>0</f>
        <v>0</v>
      </c>
      <c r="C24" s="94">
        <f>0</f>
        <v>0</v>
      </c>
    </row>
    <row r="25" spans="1:3">
      <c r="A25" s="94" t="s">
        <v>266</v>
      </c>
      <c r="B25" s="94">
        <f>17</f>
        <v>17</v>
      </c>
      <c r="C25" s="94">
        <f>20</f>
        <v>20</v>
      </c>
    </row>
    <row r="26" spans="1:3">
      <c r="A26" s="94" t="s">
        <v>302</v>
      </c>
      <c r="B26" s="94">
        <f>6.23</f>
        <v>6.23</v>
      </c>
      <c r="C26" s="94">
        <f>6.23</f>
        <v>6.23</v>
      </c>
    </row>
    <row r="27" spans="1:3">
      <c r="A27" s="94" t="s">
        <v>1265</v>
      </c>
      <c r="B27" s="190">
        <f>12.5</f>
        <v>12.5</v>
      </c>
      <c r="C27" s="190">
        <f>5</f>
        <v>5</v>
      </c>
    </row>
    <row r="28" spans="1:3">
      <c r="A28" s="94" t="s">
        <v>1266</v>
      </c>
      <c r="B28" s="191"/>
      <c r="C28" s="191"/>
    </row>
  </sheetData>
  <mergeCells count="2">
    <mergeCell ref="B27:B28"/>
    <mergeCell ref="C27:C28"/>
  </mergeCells>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election sqref="A1:B28"/>
    </sheetView>
  </sheetViews>
  <sheetFormatPr baseColWidth="10" defaultRowHeight="15"/>
  <cols>
    <col min="1" max="1" width="19.140625" bestFit="1" customWidth="1"/>
    <col min="2" max="2" width="31.5703125" bestFit="1" customWidth="1"/>
    <col min="3" max="3" width="21" bestFit="1" customWidth="1"/>
  </cols>
  <sheetData>
    <row r="1" spans="1:2">
      <c r="A1" s="1" t="s">
        <v>0</v>
      </c>
      <c r="B1" s="1" t="s">
        <v>1528</v>
      </c>
    </row>
    <row r="2" spans="1:2">
      <c r="A2" s="91" t="s">
        <v>3</v>
      </c>
      <c r="B2" s="91">
        <f>10</f>
        <v>10</v>
      </c>
    </row>
    <row r="3" spans="1:2">
      <c r="A3" s="92" t="s">
        <v>1</v>
      </c>
      <c r="B3" s="92">
        <f>0</f>
        <v>0</v>
      </c>
    </row>
    <row r="4" spans="1:2">
      <c r="A4" s="91" t="s">
        <v>2</v>
      </c>
      <c r="B4" s="91">
        <f>2.5</f>
        <v>2.5</v>
      </c>
    </row>
    <row r="5" spans="1:2">
      <c r="A5" s="92" t="s">
        <v>78</v>
      </c>
      <c r="B5" s="92">
        <f>0</f>
        <v>0</v>
      </c>
    </row>
    <row r="6" spans="1:2">
      <c r="A6" s="92" t="s">
        <v>79</v>
      </c>
      <c r="B6" s="92">
        <f>0</f>
        <v>0</v>
      </c>
    </row>
    <row r="7" spans="1:2">
      <c r="A7" s="92" t="s">
        <v>80</v>
      </c>
      <c r="B7" s="92">
        <f>0</f>
        <v>0</v>
      </c>
    </row>
    <row r="8" spans="1:2">
      <c r="A8" s="92" t="s">
        <v>105</v>
      </c>
      <c r="B8" s="92">
        <f>0</f>
        <v>0</v>
      </c>
    </row>
    <row r="9" spans="1:2">
      <c r="A9" s="91" t="s">
        <v>106</v>
      </c>
      <c r="B9" s="91">
        <f>12.5</f>
        <v>12.5</v>
      </c>
    </row>
    <row r="10" spans="1:2">
      <c r="A10" s="91" t="s">
        <v>107</v>
      </c>
      <c r="B10" s="91">
        <f>22.5</f>
        <v>22.5</v>
      </c>
    </row>
    <row r="11" spans="1:2">
      <c r="A11" s="92" t="s">
        <v>142</v>
      </c>
      <c r="B11" s="92">
        <f>0</f>
        <v>0</v>
      </c>
    </row>
    <row r="12" spans="1:2">
      <c r="A12" s="92" t="s">
        <v>1264</v>
      </c>
      <c r="B12" s="92">
        <f>0</f>
        <v>0</v>
      </c>
    </row>
    <row r="13" spans="1:2">
      <c r="A13" s="92" t="s">
        <v>144</v>
      </c>
      <c r="B13" s="92">
        <f>0</f>
        <v>0</v>
      </c>
    </row>
    <row r="14" spans="1:2">
      <c r="A14" s="23" t="s">
        <v>171</v>
      </c>
      <c r="B14" s="91">
        <f>12.5</f>
        <v>12.5</v>
      </c>
    </row>
    <row r="15" spans="1:2">
      <c r="A15" s="92" t="s">
        <v>172</v>
      </c>
      <c r="B15" s="92">
        <f>0</f>
        <v>0</v>
      </c>
    </row>
    <row r="16" spans="1:2">
      <c r="A16" s="92" t="s">
        <v>173</v>
      </c>
      <c r="B16" s="92">
        <f>0</f>
        <v>0</v>
      </c>
    </row>
    <row r="17" spans="1:2">
      <c r="A17" s="91" t="s">
        <v>197</v>
      </c>
      <c r="B17" s="91">
        <f>12.5</f>
        <v>12.5</v>
      </c>
    </row>
    <row r="18" spans="1:2">
      <c r="A18" s="91" t="s">
        <v>199</v>
      </c>
      <c r="B18" s="91">
        <f>21</f>
        <v>21</v>
      </c>
    </row>
    <row r="19" spans="1:2">
      <c r="A19" s="91" t="s">
        <v>198</v>
      </c>
      <c r="B19" s="91">
        <f>18</f>
        <v>18</v>
      </c>
    </row>
    <row r="20" spans="1:2">
      <c r="A20" s="91" t="s">
        <v>229</v>
      </c>
      <c r="B20" s="91">
        <f>35</f>
        <v>35</v>
      </c>
    </row>
    <row r="21" spans="1:2">
      <c r="A21" s="91" t="s">
        <v>230</v>
      </c>
      <c r="B21" s="91">
        <f>15</f>
        <v>15</v>
      </c>
    </row>
    <row r="22" spans="1:2">
      <c r="A22" s="91" t="s">
        <v>231</v>
      </c>
      <c r="B22" s="91">
        <f>25</f>
        <v>25</v>
      </c>
    </row>
    <row r="23" spans="1:2">
      <c r="A23" s="92" t="s">
        <v>264</v>
      </c>
      <c r="B23" s="92">
        <f>0</f>
        <v>0</v>
      </c>
    </row>
    <row r="24" spans="1:2">
      <c r="A24" s="92" t="s">
        <v>265</v>
      </c>
      <c r="B24" s="92">
        <f>0</f>
        <v>0</v>
      </c>
    </row>
    <row r="25" spans="1:2">
      <c r="A25" s="92" t="s">
        <v>266</v>
      </c>
      <c r="B25" s="92">
        <f>0</f>
        <v>0</v>
      </c>
    </row>
    <row r="26" spans="1:2">
      <c r="A26" s="91" t="s">
        <v>302</v>
      </c>
      <c r="B26" s="91">
        <f>7.83</f>
        <v>7.83</v>
      </c>
    </row>
    <row r="27" spans="1:2">
      <c r="A27" s="92" t="s">
        <v>1265</v>
      </c>
      <c r="B27" s="92">
        <f>0</f>
        <v>0</v>
      </c>
    </row>
    <row r="28" spans="1:2">
      <c r="A28" s="92" t="s">
        <v>1266</v>
      </c>
      <c r="B28" s="92">
        <f>0</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28"/>
  <sheetViews>
    <sheetView workbookViewId="0">
      <selection activeCell="B25" sqref="B25"/>
    </sheetView>
  </sheetViews>
  <sheetFormatPr baseColWidth="10" defaultRowHeight="15"/>
  <cols>
    <col min="1" max="1" width="19.140625" bestFit="1" customWidth="1"/>
    <col min="2" max="2" width="30.140625" bestFit="1" customWidth="1"/>
  </cols>
  <sheetData>
    <row r="1" spans="1:2">
      <c r="A1" s="1" t="s">
        <v>0</v>
      </c>
      <c r="B1" s="1" t="s">
        <v>1465</v>
      </c>
    </row>
    <row r="2" spans="1:2">
      <c r="A2" s="92" t="s">
        <v>3</v>
      </c>
      <c r="B2" s="92" t="s">
        <v>41</v>
      </c>
    </row>
    <row r="3" spans="1:2">
      <c r="A3" s="91" t="s">
        <v>1</v>
      </c>
      <c r="B3" s="91" t="s">
        <v>5</v>
      </c>
    </row>
    <row r="4" spans="1:2">
      <c r="A4" s="92" t="s">
        <v>2</v>
      </c>
      <c r="B4" s="92" t="s">
        <v>41</v>
      </c>
    </row>
    <row r="5" spans="1:2">
      <c r="A5" s="91" t="s">
        <v>78</v>
      </c>
      <c r="B5" s="91" t="s">
        <v>5</v>
      </c>
    </row>
    <row r="6" spans="1:2">
      <c r="A6" s="91" t="s">
        <v>79</v>
      </c>
      <c r="B6" s="91" t="s">
        <v>5</v>
      </c>
    </row>
    <row r="7" spans="1:2">
      <c r="A7" s="91" t="s">
        <v>80</v>
      </c>
      <c r="B7" s="91" t="s">
        <v>5</v>
      </c>
    </row>
    <row r="8" spans="1:2">
      <c r="A8" s="91" t="s">
        <v>105</v>
      </c>
      <c r="B8" s="91" t="s">
        <v>5</v>
      </c>
    </row>
    <row r="9" spans="1:2">
      <c r="A9" s="92" t="s">
        <v>106</v>
      </c>
      <c r="B9" s="92" t="s">
        <v>41</v>
      </c>
    </row>
    <row r="10" spans="1:2">
      <c r="A10" s="92" t="s">
        <v>107</v>
      </c>
      <c r="B10" s="92" t="s">
        <v>41</v>
      </c>
    </row>
    <row r="11" spans="1:2">
      <c r="A11" s="92" t="s">
        <v>142</v>
      </c>
      <c r="B11" s="92" t="s">
        <v>41</v>
      </c>
    </row>
    <row r="12" spans="1:2">
      <c r="A12" s="92" t="s">
        <v>1264</v>
      </c>
      <c r="B12" s="92" t="s">
        <v>41</v>
      </c>
    </row>
    <row r="13" spans="1:2">
      <c r="A13" s="92" t="s">
        <v>144</v>
      </c>
      <c r="B13" s="92" t="s">
        <v>41</v>
      </c>
    </row>
    <row r="14" spans="1:2">
      <c r="A14" s="7" t="s">
        <v>171</v>
      </c>
      <c r="B14" s="92" t="s">
        <v>41</v>
      </c>
    </row>
    <row r="15" spans="1:2">
      <c r="A15" s="92" t="s">
        <v>172</v>
      </c>
      <c r="B15" s="92" t="s">
        <v>41</v>
      </c>
    </row>
    <row r="16" spans="1:2">
      <c r="A16" s="92" t="s">
        <v>173</v>
      </c>
      <c r="B16" s="92" t="s">
        <v>41</v>
      </c>
    </row>
    <row r="17" spans="1:2">
      <c r="A17" s="92" t="s">
        <v>197</v>
      </c>
      <c r="B17" s="92" t="s">
        <v>41</v>
      </c>
    </row>
    <row r="18" spans="1:2">
      <c r="A18" s="92" t="s">
        <v>199</v>
      </c>
      <c r="B18" s="92" t="s">
        <v>41</v>
      </c>
    </row>
    <row r="19" spans="1:2">
      <c r="A19" s="92" t="s">
        <v>198</v>
      </c>
      <c r="B19" s="92" t="s">
        <v>41</v>
      </c>
    </row>
    <row r="20" spans="1:2">
      <c r="A20" s="92" t="s">
        <v>229</v>
      </c>
      <c r="B20" s="92" t="s">
        <v>41</v>
      </c>
    </row>
    <row r="21" spans="1:2">
      <c r="A21" s="92" t="s">
        <v>230</v>
      </c>
      <c r="B21" s="92" t="s">
        <v>41</v>
      </c>
    </row>
    <row r="22" spans="1:2">
      <c r="A22" s="92" t="s">
        <v>231</v>
      </c>
      <c r="B22" s="92" t="s">
        <v>41</v>
      </c>
    </row>
    <row r="23" spans="1:2">
      <c r="A23" s="92" t="s">
        <v>264</v>
      </c>
      <c r="B23" s="92" t="s">
        <v>41</v>
      </c>
    </row>
    <row r="24" spans="1:2">
      <c r="A24" s="92" t="s">
        <v>265</v>
      </c>
      <c r="B24" s="92" t="s">
        <v>41</v>
      </c>
    </row>
    <row r="25" spans="1:2">
      <c r="A25" s="92" t="s">
        <v>266</v>
      </c>
      <c r="B25" s="92" t="s">
        <v>41</v>
      </c>
    </row>
    <row r="26" spans="1:2">
      <c r="A26" s="92" t="s">
        <v>302</v>
      </c>
      <c r="B26" s="92" t="s">
        <v>41</v>
      </c>
    </row>
    <row r="27" spans="1:2">
      <c r="A27" s="91" t="s">
        <v>1265</v>
      </c>
      <c r="B27" s="91" t="s">
        <v>5</v>
      </c>
    </row>
    <row r="28" spans="1:2">
      <c r="A28" s="91" t="s">
        <v>1266</v>
      </c>
      <c r="B28" s="91" t="s">
        <v>5</v>
      </c>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28"/>
  <sheetViews>
    <sheetView workbookViewId="0">
      <selection activeCell="A2" sqref="A2:A28"/>
    </sheetView>
  </sheetViews>
  <sheetFormatPr baseColWidth="10" defaultRowHeight="15"/>
  <cols>
    <col min="1" max="1" width="14.5703125" bestFit="1" customWidth="1"/>
  </cols>
  <sheetData>
    <row r="1" spans="1:2">
      <c r="A1" s="1" t="s">
        <v>0</v>
      </c>
      <c r="B1" s="1" t="s">
        <v>1304</v>
      </c>
    </row>
    <row r="2" spans="1:2">
      <c r="A2" s="92" t="s">
        <v>3</v>
      </c>
      <c r="B2" s="92" t="s">
        <v>5</v>
      </c>
    </row>
    <row r="3" spans="1:2">
      <c r="A3" s="92" t="s">
        <v>1</v>
      </c>
      <c r="B3" s="92" t="s">
        <v>5</v>
      </c>
    </row>
    <row r="4" spans="1:2">
      <c r="A4" s="92" t="s">
        <v>2</v>
      </c>
      <c r="B4" s="92" t="s">
        <v>5</v>
      </c>
    </row>
    <row r="5" spans="1:2">
      <c r="A5" s="92" t="s">
        <v>78</v>
      </c>
      <c r="B5" s="92" t="s">
        <v>5</v>
      </c>
    </row>
    <row r="6" spans="1:2">
      <c r="A6" s="92" t="s">
        <v>79</v>
      </c>
      <c r="B6" s="92" t="s">
        <v>5</v>
      </c>
    </row>
    <row r="7" spans="1:2">
      <c r="A7" s="92" t="s">
        <v>1263</v>
      </c>
      <c r="B7" s="92" t="s">
        <v>5</v>
      </c>
    </row>
    <row r="8" spans="1:2">
      <c r="A8" s="92" t="s">
        <v>105</v>
      </c>
      <c r="B8" s="92" t="s">
        <v>5</v>
      </c>
    </row>
    <row r="9" spans="1:2">
      <c r="A9" s="91" t="s">
        <v>106</v>
      </c>
      <c r="B9" s="91" t="s">
        <v>41</v>
      </c>
    </row>
    <row r="10" spans="1:2">
      <c r="A10" s="92" t="s">
        <v>107</v>
      </c>
      <c r="B10" s="92" t="s">
        <v>5</v>
      </c>
    </row>
    <row r="11" spans="1:2">
      <c r="A11" s="91" t="s">
        <v>142</v>
      </c>
      <c r="B11" s="91" t="s">
        <v>41</v>
      </c>
    </row>
    <row r="12" spans="1:2">
      <c r="A12" s="92" t="s">
        <v>1264</v>
      </c>
      <c r="B12" s="92" t="s">
        <v>5</v>
      </c>
    </row>
    <row r="13" spans="1:2">
      <c r="A13" s="92" t="s">
        <v>144</v>
      </c>
      <c r="B13" s="92" t="s">
        <v>5</v>
      </c>
    </row>
    <row r="14" spans="1:2">
      <c r="A14" s="91" t="s">
        <v>171</v>
      </c>
      <c r="B14" s="91" t="s">
        <v>41</v>
      </c>
    </row>
    <row r="15" spans="1:2">
      <c r="A15" s="92" t="s">
        <v>172</v>
      </c>
      <c r="B15" s="92" t="s">
        <v>5</v>
      </c>
    </row>
    <row r="16" spans="1:2">
      <c r="A16" s="92" t="s">
        <v>173</v>
      </c>
      <c r="B16" s="92" t="s">
        <v>5</v>
      </c>
    </row>
    <row r="17" spans="1:2">
      <c r="A17" s="91" t="s">
        <v>197</v>
      </c>
      <c r="B17" s="91" t="s">
        <v>41</v>
      </c>
    </row>
    <row r="18" spans="1:2">
      <c r="A18" s="91" t="s">
        <v>199</v>
      </c>
      <c r="B18" s="91" t="s">
        <v>41</v>
      </c>
    </row>
    <row r="19" spans="1:2">
      <c r="A19" s="91" t="s">
        <v>198</v>
      </c>
      <c r="B19" s="107" t="s">
        <v>41</v>
      </c>
    </row>
    <row r="20" spans="1:2">
      <c r="A20" s="91" t="s">
        <v>229</v>
      </c>
      <c r="B20" s="91" t="s">
        <v>41</v>
      </c>
    </row>
    <row r="21" spans="1:2">
      <c r="A21" s="92" t="s">
        <v>230</v>
      </c>
      <c r="B21" s="92" t="s">
        <v>5</v>
      </c>
    </row>
    <row r="22" spans="1:2">
      <c r="A22" s="91" t="s">
        <v>231</v>
      </c>
      <c r="B22" s="91" t="s">
        <v>41</v>
      </c>
    </row>
    <row r="23" spans="1:2">
      <c r="A23" s="92" t="s">
        <v>264</v>
      </c>
      <c r="B23" s="92" t="s">
        <v>5</v>
      </c>
    </row>
    <row r="24" spans="1:2">
      <c r="A24" s="92" t="s">
        <v>265</v>
      </c>
      <c r="B24" s="92" t="s">
        <v>5</v>
      </c>
    </row>
    <row r="25" spans="1:2">
      <c r="A25" s="92" t="s">
        <v>266</v>
      </c>
      <c r="B25" s="92" t="s">
        <v>5</v>
      </c>
    </row>
    <row r="26" spans="1:2">
      <c r="A26" s="92" t="s">
        <v>302</v>
      </c>
      <c r="B26" s="92" t="s">
        <v>5</v>
      </c>
    </row>
    <row r="27" spans="1:2">
      <c r="A27" s="92" t="s">
        <v>1265</v>
      </c>
      <c r="B27" s="92" t="s">
        <v>5</v>
      </c>
    </row>
    <row r="28" spans="1:2">
      <c r="A28" s="92" t="s">
        <v>1266</v>
      </c>
      <c r="B28" s="92" t="s">
        <v>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C28"/>
  <sheetViews>
    <sheetView workbookViewId="0">
      <selection activeCell="D21" sqref="D21"/>
    </sheetView>
  </sheetViews>
  <sheetFormatPr baseColWidth="10" defaultRowHeight="15"/>
  <cols>
    <col min="1" max="1" width="14.5703125" bestFit="1" customWidth="1"/>
    <col min="2" max="2" width="20.42578125" bestFit="1" customWidth="1"/>
  </cols>
  <sheetData>
    <row r="1" spans="1:3">
      <c r="A1" s="1" t="s">
        <v>0</v>
      </c>
      <c r="B1" s="1" t="s">
        <v>1309</v>
      </c>
    </row>
    <row r="2" spans="1:3" ht="17.25" customHeight="1">
      <c r="A2" s="94" t="s">
        <v>3</v>
      </c>
      <c r="B2" s="94">
        <f>77281/10^(6)</f>
        <v>7.7281000000000002E-2</v>
      </c>
      <c r="C2" s="117"/>
    </row>
    <row r="3" spans="1:3">
      <c r="A3" s="94" t="s">
        <v>1</v>
      </c>
      <c r="B3" s="94">
        <f>0.38</f>
        <v>0.38</v>
      </c>
    </row>
    <row r="4" spans="1:3">
      <c r="A4" s="94" t="s">
        <v>2</v>
      </c>
      <c r="B4" s="94">
        <f>286388/10^(6)</f>
        <v>0.28638799999999998</v>
      </c>
    </row>
    <row r="5" spans="1:3">
      <c r="A5" s="94" t="s">
        <v>78</v>
      </c>
      <c r="B5" s="94">
        <f>0.39</f>
        <v>0.39</v>
      </c>
    </row>
    <row r="6" spans="1:3">
      <c r="A6" s="94" t="s">
        <v>79</v>
      </c>
      <c r="B6" s="94">
        <f>0.07</f>
        <v>7.0000000000000007E-2</v>
      </c>
    </row>
    <row r="7" spans="1:3">
      <c r="A7" s="94" t="s">
        <v>1263</v>
      </c>
      <c r="B7" s="94">
        <f>31196/10^(6)</f>
        <v>3.1196000000000002E-2</v>
      </c>
    </row>
    <row r="8" spans="1:3">
      <c r="A8" s="94" t="s">
        <v>105</v>
      </c>
      <c r="B8" s="94">
        <f>0.06</f>
        <v>0.06</v>
      </c>
    </row>
    <row r="9" spans="1:3">
      <c r="A9" s="94" t="s">
        <v>106</v>
      </c>
      <c r="B9" s="94">
        <f>0.86</f>
        <v>0.86</v>
      </c>
    </row>
    <row r="10" spans="1:3">
      <c r="A10" s="94" t="s">
        <v>107</v>
      </c>
      <c r="B10" s="94">
        <f>96.2</f>
        <v>96.2</v>
      </c>
    </row>
    <row r="11" spans="1:3">
      <c r="A11" s="94" t="s">
        <v>142</v>
      </c>
      <c r="B11" s="94">
        <f>34571/10^(6)</f>
        <v>3.4570999999999998E-2</v>
      </c>
    </row>
    <row r="12" spans="1:3">
      <c r="A12" s="94" t="s">
        <v>1264</v>
      </c>
      <c r="B12" s="94">
        <f>66502/10^(6)</f>
        <v>6.6502000000000006E-2</v>
      </c>
    </row>
    <row r="13" spans="1:3">
      <c r="A13" s="94" t="s">
        <v>144</v>
      </c>
      <c r="B13" s="94">
        <f>7.41</f>
        <v>7.41</v>
      </c>
    </row>
    <row r="14" spans="1:3">
      <c r="A14" s="94" t="s">
        <v>171</v>
      </c>
      <c r="B14" s="94">
        <f>4.84</f>
        <v>4.84</v>
      </c>
    </row>
    <row r="15" spans="1:3">
      <c r="A15" s="94" t="s">
        <v>172</v>
      </c>
      <c r="B15" s="94">
        <f>84831/10^(6)</f>
        <v>8.4831000000000004E-2</v>
      </c>
    </row>
    <row r="16" spans="1:3">
      <c r="A16" s="94" t="s">
        <v>173</v>
      </c>
      <c r="B16" s="94">
        <f>105500/10^(6)</f>
        <v>0.1055</v>
      </c>
    </row>
    <row r="17" spans="1:2">
      <c r="A17" s="94" t="s">
        <v>197</v>
      </c>
      <c r="B17" s="94">
        <f>0.04</f>
        <v>0.04</v>
      </c>
    </row>
    <row r="18" spans="1:2">
      <c r="A18" s="94" t="s">
        <v>199</v>
      </c>
      <c r="B18" s="94">
        <f>2.81</f>
        <v>2.81</v>
      </c>
    </row>
    <row r="19" spans="1:2">
      <c r="A19" s="94" t="s">
        <v>198</v>
      </c>
      <c r="B19" s="108">
        <f>0.6</f>
        <v>0.6</v>
      </c>
    </row>
    <row r="20" spans="1:2">
      <c r="A20" s="94" t="s">
        <v>229</v>
      </c>
      <c r="B20" s="94">
        <f>0.48</f>
        <v>0.48</v>
      </c>
    </row>
    <row r="21" spans="1:2">
      <c r="A21" s="94" t="s">
        <v>230</v>
      </c>
      <c r="B21" s="94">
        <f>1.26</f>
        <v>1.26</v>
      </c>
    </row>
    <row r="22" spans="1:2">
      <c r="A22" s="94" t="s">
        <v>231</v>
      </c>
      <c r="B22" s="94">
        <f>17.12</f>
        <v>17.12</v>
      </c>
    </row>
    <row r="23" spans="1:2">
      <c r="A23" s="94" t="s">
        <v>264</v>
      </c>
      <c r="B23" s="94">
        <f>4.1</f>
        <v>4.0999999999999996</v>
      </c>
    </row>
    <row r="24" spans="1:2">
      <c r="A24" s="94" t="s">
        <v>265</v>
      </c>
      <c r="B24" s="94">
        <f>0.1</f>
        <v>0.1</v>
      </c>
    </row>
    <row r="25" spans="1:2">
      <c r="A25" s="94" t="s">
        <v>266</v>
      </c>
      <c r="B25" s="94">
        <f>5.61</f>
        <v>5.61</v>
      </c>
    </row>
    <row r="26" spans="1:2">
      <c r="A26" s="94" t="s">
        <v>302</v>
      </c>
      <c r="B26" s="94">
        <f>8.48</f>
        <v>8.48</v>
      </c>
    </row>
    <row r="27" spans="1:2">
      <c r="A27" s="94" t="s">
        <v>1265</v>
      </c>
      <c r="B27" s="190">
        <f>9541615/10^(6)</f>
        <v>9.5416150000000002</v>
      </c>
    </row>
    <row r="28" spans="1:2">
      <c r="A28" s="94" t="s">
        <v>1266</v>
      </c>
      <c r="B28" s="191"/>
    </row>
  </sheetData>
  <mergeCells count="1">
    <mergeCell ref="B27:B28"/>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1:B28"/>
  <sheetViews>
    <sheetView workbookViewId="0">
      <selection activeCell="B2" sqref="B2:B28"/>
    </sheetView>
  </sheetViews>
  <sheetFormatPr baseColWidth="10" defaultRowHeight="15"/>
  <cols>
    <col min="1" max="1" width="14.5703125" bestFit="1" customWidth="1"/>
    <col min="2" max="2" width="88.140625" bestFit="1" customWidth="1"/>
  </cols>
  <sheetData>
    <row r="1" spans="1:2">
      <c r="A1" s="1" t="s">
        <v>0</v>
      </c>
      <c r="B1" s="1" t="s">
        <v>1364</v>
      </c>
    </row>
    <row r="2" spans="1:2">
      <c r="A2" s="91" t="s">
        <v>3</v>
      </c>
      <c r="B2" s="91">
        <v>10</v>
      </c>
    </row>
    <row r="3" spans="1:2">
      <c r="A3" s="92" t="s">
        <v>1</v>
      </c>
      <c r="B3" s="92">
        <f>0</f>
        <v>0</v>
      </c>
    </row>
    <row r="4" spans="1:2">
      <c r="A4" s="91" t="s">
        <v>2</v>
      </c>
      <c r="B4" s="91">
        <f>33.5</f>
        <v>33.5</v>
      </c>
    </row>
    <row r="5" spans="1:2">
      <c r="A5" s="91" t="s">
        <v>78</v>
      </c>
      <c r="B5" s="91" t="s">
        <v>2056</v>
      </c>
    </row>
    <row r="6" spans="1:2">
      <c r="A6" s="92" t="s">
        <v>79</v>
      </c>
      <c r="B6" s="92">
        <f>0</f>
        <v>0</v>
      </c>
    </row>
    <row r="7" spans="1:2">
      <c r="A7" s="92" t="s">
        <v>1263</v>
      </c>
      <c r="B7" s="92">
        <f>0</f>
        <v>0</v>
      </c>
    </row>
    <row r="8" spans="1:2">
      <c r="A8" s="92" t="s">
        <v>105</v>
      </c>
      <c r="B8" s="92">
        <f>0</f>
        <v>0</v>
      </c>
    </row>
    <row r="9" spans="1:2">
      <c r="A9" s="91" t="s">
        <v>106</v>
      </c>
      <c r="B9" s="91">
        <f>35</f>
        <v>35</v>
      </c>
    </row>
    <row r="10" spans="1:2">
      <c r="A10" s="91" t="s">
        <v>107</v>
      </c>
      <c r="B10" s="91">
        <f>22.5</f>
        <v>22.5</v>
      </c>
    </row>
    <row r="11" spans="1:2">
      <c r="A11" s="91" t="s">
        <v>142</v>
      </c>
      <c r="B11" s="91" t="s">
        <v>2057</v>
      </c>
    </row>
    <row r="12" spans="1:2">
      <c r="A12" s="91" t="s">
        <v>1264</v>
      </c>
      <c r="B12" s="91">
        <v>20</v>
      </c>
    </row>
    <row r="13" spans="1:2">
      <c r="A13" s="91" t="s">
        <v>144</v>
      </c>
      <c r="B13" s="91">
        <f>17</f>
        <v>17</v>
      </c>
    </row>
    <row r="14" spans="1:2">
      <c r="A14" s="91" t="s">
        <v>171</v>
      </c>
      <c r="B14" s="91">
        <f>48</f>
        <v>48</v>
      </c>
    </row>
    <row r="15" spans="1:2">
      <c r="A15" s="91" t="s">
        <v>172</v>
      </c>
      <c r="B15" s="91">
        <f>20</f>
        <v>20</v>
      </c>
    </row>
    <row r="16" spans="1:2">
      <c r="A16" s="91" t="s">
        <v>173</v>
      </c>
      <c r="B16" s="91">
        <f>20</f>
        <v>20</v>
      </c>
    </row>
    <row r="17" spans="1:2">
      <c r="A17" s="91" t="s">
        <v>197</v>
      </c>
      <c r="B17" s="91">
        <f>24</f>
        <v>24</v>
      </c>
    </row>
    <row r="18" spans="1:2">
      <c r="A18" s="91" t="s">
        <v>199</v>
      </c>
      <c r="B18" s="91">
        <f>15</f>
        <v>15</v>
      </c>
    </row>
    <row r="19" spans="1:2">
      <c r="A19" s="91" t="s">
        <v>198</v>
      </c>
      <c r="B19" s="107">
        <f>48.78</f>
        <v>48.78</v>
      </c>
    </row>
    <row r="20" spans="1:2">
      <c r="A20" s="91" t="s">
        <v>229</v>
      </c>
      <c r="B20" s="91">
        <f>35</f>
        <v>35</v>
      </c>
    </row>
    <row r="21" spans="1:2">
      <c r="A21" s="91" t="s">
        <v>230</v>
      </c>
      <c r="B21" s="91">
        <f>15</f>
        <v>15</v>
      </c>
    </row>
    <row r="22" spans="1:2">
      <c r="A22" s="91" t="s">
        <v>231</v>
      </c>
      <c r="B22" s="91">
        <f>52</f>
        <v>52</v>
      </c>
    </row>
    <row r="23" spans="1:2">
      <c r="A23" s="91" t="s">
        <v>264</v>
      </c>
      <c r="B23" s="91">
        <f>25</f>
        <v>25</v>
      </c>
    </row>
    <row r="24" spans="1:2">
      <c r="A24" s="91" t="s">
        <v>265</v>
      </c>
      <c r="B24" s="91">
        <f>15</f>
        <v>15</v>
      </c>
    </row>
    <row r="25" spans="1:2">
      <c r="A25" s="91" t="s">
        <v>266</v>
      </c>
      <c r="B25" s="91">
        <f>22</f>
        <v>22</v>
      </c>
    </row>
    <row r="26" spans="1:2">
      <c r="A26" s="91" t="s">
        <v>302</v>
      </c>
      <c r="B26" s="91">
        <f>40</f>
        <v>40</v>
      </c>
    </row>
    <row r="27" spans="1:2">
      <c r="A27" s="92" t="s">
        <v>1265</v>
      </c>
      <c r="B27" s="92">
        <f>0</f>
        <v>0</v>
      </c>
    </row>
    <row r="28" spans="1:2">
      <c r="A28" s="92" t="s">
        <v>1266</v>
      </c>
      <c r="B28" s="92">
        <f>0</f>
        <v>0</v>
      </c>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28"/>
  <sheetViews>
    <sheetView workbookViewId="0">
      <selection activeCell="I19" sqref="I19"/>
    </sheetView>
  </sheetViews>
  <sheetFormatPr baseColWidth="10" defaultRowHeight="15"/>
  <cols>
    <col min="1" max="1" width="14.5703125" bestFit="1" customWidth="1"/>
    <col min="2" max="2" width="18.7109375" bestFit="1" customWidth="1"/>
  </cols>
  <sheetData>
    <row r="1" spans="1:2">
      <c r="A1" s="1" t="s">
        <v>0</v>
      </c>
      <c r="B1" s="1" t="s">
        <v>1315</v>
      </c>
    </row>
    <row r="2" spans="1:2">
      <c r="A2" s="91" t="s">
        <v>3</v>
      </c>
      <c r="B2" s="91">
        <f>4.5</f>
        <v>4.5</v>
      </c>
    </row>
    <row r="3" spans="1:2">
      <c r="A3" s="91" t="s">
        <v>1</v>
      </c>
      <c r="B3" s="91">
        <f>7.5</f>
        <v>7.5</v>
      </c>
    </row>
    <row r="4" spans="1:2">
      <c r="A4" s="91" t="s">
        <v>2</v>
      </c>
      <c r="B4" s="91">
        <f>17.5</f>
        <v>17.5</v>
      </c>
    </row>
    <row r="5" spans="1:2">
      <c r="A5" s="91" t="s">
        <v>78</v>
      </c>
      <c r="B5" s="91">
        <f>12.5</f>
        <v>12.5</v>
      </c>
    </row>
    <row r="6" spans="1:2">
      <c r="A6" s="92" t="s">
        <v>79</v>
      </c>
      <c r="B6" s="92">
        <f>0</f>
        <v>0</v>
      </c>
    </row>
    <row r="7" spans="1:2">
      <c r="A7" s="92" t="s">
        <v>1263</v>
      </c>
      <c r="B7" s="92">
        <f>0</f>
        <v>0</v>
      </c>
    </row>
    <row r="8" spans="1:2">
      <c r="A8" s="92" t="s">
        <v>105</v>
      </c>
      <c r="B8" s="92">
        <f>0</f>
        <v>0</v>
      </c>
    </row>
    <row r="9" spans="1:2">
      <c r="A9" s="91" t="s">
        <v>106</v>
      </c>
      <c r="B9" s="91">
        <f>19</f>
        <v>19</v>
      </c>
    </row>
    <row r="10" spans="1:2">
      <c r="A10" s="91" t="s">
        <v>107</v>
      </c>
      <c r="B10" s="91">
        <f>14</f>
        <v>14</v>
      </c>
    </row>
    <row r="11" spans="1:2">
      <c r="A11" s="92" t="s">
        <v>142</v>
      </c>
      <c r="B11" s="92">
        <f>0</f>
        <v>0</v>
      </c>
    </row>
    <row r="12" spans="1:2">
      <c r="A12" s="92" t="s">
        <v>1264</v>
      </c>
      <c r="B12" s="92">
        <f>0</f>
        <v>0</v>
      </c>
    </row>
    <row r="13" spans="1:2">
      <c r="A13" s="92" t="s">
        <v>144</v>
      </c>
      <c r="B13" s="92">
        <f>0</f>
        <v>0</v>
      </c>
    </row>
    <row r="14" spans="1:2">
      <c r="A14" s="91" t="s">
        <v>171</v>
      </c>
      <c r="B14" s="91">
        <f>23</f>
        <v>23</v>
      </c>
    </row>
    <row r="15" spans="1:2">
      <c r="A15" s="91" t="s">
        <v>172</v>
      </c>
      <c r="B15" s="91">
        <f>20</f>
        <v>20</v>
      </c>
    </row>
    <row r="16" spans="1:2">
      <c r="A16" s="91" t="s">
        <v>173</v>
      </c>
      <c r="B16" s="91">
        <f>5</f>
        <v>5</v>
      </c>
    </row>
    <row r="17" spans="1:2">
      <c r="A17" s="91" t="s">
        <v>197</v>
      </c>
      <c r="B17" s="91">
        <f>8</f>
        <v>8</v>
      </c>
    </row>
    <row r="18" spans="1:2">
      <c r="A18" s="91" t="s">
        <v>199</v>
      </c>
      <c r="B18" s="91">
        <f>21</f>
        <v>21</v>
      </c>
    </row>
    <row r="19" spans="1:2">
      <c r="A19" s="91" t="s">
        <v>198</v>
      </c>
      <c r="B19" s="107">
        <f>17</f>
        <v>17</v>
      </c>
    </row>
    <row r="20" spans="1:2">
      <c r="A20" s="91" t="s">
        <v>229</v>
      </c>
      <c r="B20" s="91">
        <f>18</f>
        <v>18</v>
      </c>
    </row>
    <row r="21" spans="1:2">
      <c r="A21" s="91" t="s">
        <v>230</v>
      </c>
      <c r="B21" s="91">
        <f>15</f>
        <v>15</v>
      </c>
    </row>
    <row r="22" spans="1:2">
      <c r="A22" s="91" t="s">
        <v>231</v>
      </c>
      <c r="B22" s="91">
        <f>21</f>
        <v>21</v>
      </c>
    </row>
    <row r="23" spans="1:2">
      <c r="A23" s="91" t="s">
        <v>264</v>
      </c>
      <c r="B23" s="91">
        <f>7</f>
        <v>7</v>
      </c>
    </row>
    <row r="24" spans="1:2">
      <c r="A24" s="91" t="s">
        <v>265</v>
      </c>
      <c r="B24" s="91">
        <f>15</f>
        <v>15</v>
      </c>
    </row>
    <row r="25" spans="1:2">
      <c r="A25" s="91" t="s">
        <v>266</v>
      </c>
      <c r="B25" s="91">
        <f>7</f>
        <v>7</v>
      </c>
    </row>
    <row r="26" spans="1:2">
      <c r="A26" s="91" t="s">
        <v>302</v>
      </c>
      <c r="B26" s="91">
        <f>7.7</f>
        <v>7.7</v>
      </c>
    </row>
    <row r="27" spans="1:2">
      <c r="A27" s="91" t="s">
        <v>1265</v>
      </c>
      <c r="B27" s="91">
        <f>5</f>
        <v>5</v>
      </c>
    </row>
    <row r="28" spans="1:2">
      <c r="A28" s="91" t="s">
        <v>1266</v>
      </c>
      <c r="B28" s="91">
        <f>5</f>
        <v>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28"/>
  <sheetViews>
    <sheetView workbookViewId="0">
      <selection activeCell="A4" sqref="A4"/>
    </sheetView>
  </sheetViews>
  <sheetFormatPr baseColWidth="10" defaultRowHeight="15"/>
  <cols>
    <col min="1" max="1" width="18" bestFit="1" customWidth="1"/>
    <col min="2" max="2" width="22.42578125" bestFit="1" customWidth="1"/>
    <col min="3" max="3" width="27.28515625" bestFit="1" customWidth="1"/>
    <col min="4" max="4" width="12.7109375" bestFit="1" customWidth="1"/>
    <col min="5" max="5" width="14.85546875" bestFit="1" customWidth="1"/>
    <col min="6" max="6" width="18.5703125" bestFit="1" customWidth="1"/>
    <col min="7" max="7" width="14" bestFit="1" customWidth="1"/>
    <col min="8" max="8" width="36.28515625" bestFit="1" customWidth="1"/>
    <col min="9" max="9" width="40.140625" bestFit="1" customWidth="1"/>
    <col min="10" max="10" width="26.140625" style="136" bestFit="1" customWidth="1"/>
    <col min="11" max="11" width="14.140625" bestFit="1" customWidth="1"/>
    <col min="12" max="12" width="15.28515625" bestFit="1" customWidth="1"/>
    <col min="13" max="13" width="22" bestFit="1" customWidth="1"/>
  </cols>
  <sheetData>
    <row r="1" spans="1:13">
      <c r="A1" s="15" t="s">
        <v>2082</v>
      </c>
      <c r="B1" s="188" t="s">
        <v>2086</v>
      </c>
      <c r="C1" s="188" t="s">
        <v>2083</v>
      </c>
      <c r="D1" s="189" t="s">
        <v>2084</v>
      </c>
      <c r="E1" s="188" t="s">
        <v>1463</v>
      </c>
      <c r="F1" s="188" t="s">
        <v>2085</v>
      </c>
      <c r="G1" s="188" t="s">
        <v>1284</v>
      </c>
      <c r="H1" s="188" t="s">
        <v>2087</v>
      </c>
      <c r="I1" s="188" t="s">
        <v>2088</v>
      </c>
      <c r="J1" s="188" t="s">
        <v>2089</v>
      </c>
      <c r="K1" s="188" t="s">
        <v>2090</v>
      </c>
      <c r="L1" s="188" t="s">
        <v>2091</v>
      </c>
      <c r="M1" s="188" t="s">
        <v>2092</v>
      </c>
    </row>
    <row r="2" spans="1:13">
      <c r="A2" s="186" t="s">
        <v>3</v>
      </c>
      <c r="B2" s="91" t="s">
        <v>5</v>
      </c>
      <c r="C2" s="91" t="s">
        <v>5</v>
      </c>
      <c r="D2" s="92" t="s">
        <v>5</v>
      </c>
      <c r="E2" s="92" t="s">
        <v>5</v>
      </c>
      <c r="F2" s="91" t="s">
        <v>5</v>
      </c>
      <c r="G2" s="92" t="s">
        <v>5</v>
      </c>
      <c r="H2" s="91" t="s">
        <v>5</v>
      </c>
      <c r="I2" s="91" t="s">
        <v>5</v>
      </c>
      <c r="J2" s="91" t="s">
        <v>5</v>
      </c>
      <c r="K2" s="91" t="s">
        <v>5</v>
      </c>
      <c r="L2" s="92" t="s">
        <v>5</v>
      </c>
      <c r="M2" s="18" t="s">
        <v>5</v>
      </c>
    </row>
    <row r="3" spans="1:13">
      <c r="A3" s="186" t="s">
        <v>1</v>
      </c>
      <c r="B3" s="92" t="s">
        <v>41</v>
      </c>
      <c r="C3" s="91" t="s">
        <v>5</v>
      </c>
      <c r="D3" s="92" t="s">
        <v>5</v>
      </c>
      <c r="E3" s="92" t="s">
        <v>5</v>
      </c>
      <c r="F3" s="92" t="s">
        <v>41</v>
      </c>
      <c r="G3" s="13" t="s">
        <v>5</v>
      </c>
      <c r="H3" s="91" t="s">
        <v>5</v>
      </c>
      <c r="I3" s="91" t="s">
        <v>5</v>
      </c>
      <c r="J3" s="92" t="s">
        <v>41</v>
      </c>
      <c r="K3" s="91" t="s">
        <v>5</v>
      </c>
      <c r="L3" s="92" t="s">
        <v>5</v>
      </c>
      <c r="M3" s="92" t="s">
        <v>41</v>
      </c>
    </row>
    <row r="4" spans="1:13">
      <c r="A4" s="186" t="s">
        <v>2</v>
      </c>
      <c r="B4" s="91" t="s">
        <v>5</v>
      </c>
      <c r="C4" s="91" t="s">
        <v>5</v>
      </c>
      <c r="D4" s="92" t="s">
        <v>5</v>
      </c>
      <c r="E4" s="92" t="s">
        <v>5</v>
      </c>
      <c r="F4" s="91" t="s">
        <v>5</v>
      </c>
      <c r="G4" s="13" t="s">
        <v>5</v>
      </c>
      <c r="H4" s="91" t="s">
        <v>5</v>
      </c>
      <c r="I4" s="91" t="s">
        <v>5</v>
      </c>
      <c r="J4" s="91" t="s">
        <v>5</v>
      </c>
      <c r="K4" s="91" t="s">
        <v>5</v>
      </c>
      <c r="L4" s="92" t="s">
        <v>5</v>
      </c>
      <c r="M4" s="92" t="s">
        <v>41</v>
      </c>
    </row>
    <row r="5" spans="1:13">
      <c r="A5" s="186" t="s">
        <v>78</v>
      </c>
      <c r="B5" s="92" t="s">
        <v>41</v>
      </c>
      <c r="C5" s="91" t="s">
        <v>5</v>
      </c>
      <c r="D5" s="92" t="s">
        <v>5</v>
      </c>
      <c r="E5" s="91" t="s">
        <v>1345</v>
      </c>
      <c r="F5" s="92" t="s">
        <v>41</v>
      </c>
      <c r="G5" s="13" t="s">
        <v>5</v>
      </c>
      <c r="H5" s="91" t="s">
        <v>5</v>
      </c>
      <c r="I5" s="91" t="s">
        <v>5</v>
      </c>
      <c r="J5" s="91" t="s">
        <v>5</v>
      </c>
      <c r="K5" s="91" t="s">
        <v>5</v>
      </c>
      <c r="L5" s="92" t="s">
        <v>5</v>
      </c>
      <c r="M5" s="92" t="s">
        <v>41</v>
      </c>
    </row>
    <row r="6" spans="1:13">
      <c r="A6" s="186" t="s">
        <v>79</v>
      </c>
      <c r="B6" s="92" t="s">
        <v>41</v>
      </c>
      <c r="C6" s="91" t="s">
        <v>5</v>
      </c>
      <c r="D6" s="92" t="s">
        <v>5</v>
      </c>
      <c r="E6" s="92" t="s">
        <v>5</v>
      </c>
      <c r="F6" s="92" t="s">
        <v>41</v>
      </c>
      <c r="G6" s="13" t="s">
        <v>5</v>
      </c>
      <c r="H6" s="91" t="s">
        <v>5</v>
      </c>
      <c r="I6" s="91" t="s">
        <v>5</v>
      </c>
      <c r="J6" s="92" t="s">
        <v>41</v>
      </c>
      <c r="K6" s="92" t="s">
        <v>41</v>
      </c>
      <c r="L6" s="92" t="s">
        <v>5</v>
      </c>
      <c r="M6" s="92" t="s">
        <v>41</v>
      </c>
    </row>
    <row r="7" spans="1:13">
      <c r="A7" s="186" t="s">
        <v>1263</v>
      </c>
      <c r="B7" s="92" t="s">
        <v>41</v>
      </c>
      <c r="C7" s="91" t="s">
        <v>5</v>
      </c>
      <c r="D7" s="92" t="s">
        <v>5</v>
      </c>
      <c r="E7" s="92" t="s">
        <v>5</v>
      </c>
      <c r="F7" s="92" t="s">
        <v>41</v>
      </c>
      <c r="G7" s="92" t="s">
        <v>5</v>
      </c>
      <c r="H7" s="91" t="s">
        <v>5</v>
      </c>
      <c r="I7" s="91" t="s">
        <v>5</v>
      </c>
      <c r="J7" s="92" t="s">
        <v>41</v>
      </c>
      <c r="K7" s="92" t="s">
        <v>41</v>
      </c>
      <c r="L7" s="92" t="s">
        <v>5</v>
      </c>
      <c r="M7" s="92" t="s">
        <v>41</v>
      </c>
    </row>
    <row r="8" spans="1:13">
      <c r="A8" s="186" t="s">
        <v>105</v>
      </c>
      <c r="B8" s="92" t="s">
        <v>41</v>
      </c>
      <c r="C8" s="91" t="s">
        <v>5</v>
      </c>
      <c r="D8" s="92" t="s">
        <v>5</v>
      </c>
      <c r="E8" s="92" t="s">
        <v>5</v>
      </c>
      <c r="F8" s="92" t="s">
        <v>41</v>
      </c>
      <c r="G8" s="92" t="s">
        <v>5</v>
      </c>
      <c r="H8" s="92" t="s">
        <v>41</v>
      </c>
      <c r="I8" s="92" t="s">
        <v>41</v>
      </c>
      <c r="J8" s="92" t="s">
        <v>41</v>
      </c>
      <c r="K8" s="92" t="s">
        <v>41</v>
      </c>
      <c r="L8" s="92" t="s">
        <v>5</v>
      </c>
      <c r="M8" s="92" t="s">
        <v>41</v>
      </c>
    </row>
    <row r="9" spans="1:13">
      <c r="A9" s="186" t="s">
        <v>106</v>
      </c>
      <c r="B9" s="91" t="s">
        <v>5</v>
      </c>
      <c r="C9" s="91" t="s">
        <v>5</v>
      </c>
      <c r="D9" s="91" t="s">
        <v>41</v>
      </c>
      <c r="E9" s="91" t="s">
        <v>1345</v>
      </c>
      <c r="F9" s="91" t="s">
        <v>5</v>
      </c>
      <c r="G9" s="92" t="s">
        <v>5</v>
      </c>
      <c r="H9" s="91" t="s">
        <v>5</v>
      </c>
      <c r="I9" s="91" t="s">
        <v>5</v>
      </c>
      <c r="J9" s="91" t="s">
        <v>5</v>
      </c>
      <c r="K9" s="91" t="s">
        <v>5</v>
      </c>
      <c r="L9" s="92" t="s">
        <v>5</v>
      </c>
      <c r="M9" s="91" t="s">
        <v>5</v>
      </c>
    </row>
    <row r="10" spans="1:13">
      <c r="A10" s="186" t="s">
        <v>107</v>
      </c>
      <c r="B10" s="91" t="s">
        <v>5</v>
      </c>
      <c r="C10" s="92" t="s">
        <v>41</v>
      </c>
      <c r="D10" s="92" t="s">
        <v>5</v>
      </c>
      <c r="E10" s="92" t="s">
        <v>5</v>
      </c>
      <c r="F10" s="91" t="s">
        <v>5</v>
      </c>
      <c r="G10" s="91" t="s">
        <v>41</v>
      </c>
      <c r="H10" s="91" t="s">
        <v>5</v>
      </c>
      <c r="I10" s="91" t="s">
        <v>5</v>
      </c>
      <c r="J10" s="91" t="s">
        <v>5</v>
      </c>
      <c r="K10" s="91" t="s">
        <v>5</v>
      </c>
      <c r="L10" s="92" t="s">
        <v>5</v>
      </c>
      <c r="M10" s="91" t="s">
        <v>5</v>
      </c>
    </row>
    <row r="11" spans="1:13">
      <c r="A11" s="186" t="s">
        <v>142</v>
      </c>
      <c r="B11" s="91" t="s">
        <v>5</v>
      </c>
      <c r="C11" s="91" t="s">
        <v>5</v>
      </c>
      <c r="D11" s="91" t="s">
        <v>41</v>
      </c>
      <c r="E11" s="92" t="s">
        <v>5</v>
      </c>
      <c r="F11" s="92" t="s">
        <v>41</v>
      </c>
      <c r="G11" s="92" t="s">
        <v>5</v>
      </c>
      <c r="H11" s="91" t="s">
        <v>5</v>
      </c>
      <c r="I11" s="91" t="s">
        <v>5</v>
      </c>
      <c r="J11" s="91" t="s">
        <v>5</v>
      </c>
      <c r="K11" s="92" t="s">
        <v>41</v>
      </c>
      <c r="L11" s="92" t="s">
        <v>5</v>
      </c>
      <c r="M11" s="92" t="s">
        <v>41</v>
      </c>
    </row>
    <row r="12" spans="1:13">
      <c r="A12" s="186" t="s">
        <v>1264</v>
      </c>
      <c r="B12" s="92" t="s">
        <v>41</v>
      </c>
      <c r="C12" s="91" t="s">
        <v>5</v>
      </c>
      <c r="D12" s="92" t="s">
        <v>5</v>
      </c>
      <c r="E12" s="92" t="s">
        <v>5</v>
      </c>
      <c r="F12" s="92" t="s">
        <v>41</v>
      </c>
      <c r="G12" s="92" t="s">
        <v>5</v>
      </c>
      <c r="H12" s="91" t="s">
        <v>5</v>
      </c>
      <c r="I12" s="91" t="s">
        <v>5</v>
      </c>
      <c r="J12" s="91" t="s">
        <v>5</v>
      </c>
      <c r="K12" s="92" t="s">
        <v>41</v>
      </c>
      <c r="L12" s="92" t="s">
        <v>5</v>
      </c>
      <c r="M12" s="92" t="s">
        <v>41</v>
      </c>
    </row>
    <row r="13" spans="1:13">
      <c r="A13" s="186" t="s">
        <v>144</v>
      </c>
      <c r="B13" s="91" t="s">
        <v>5</v>
      </c>
      <c r="C13" s="92" t="s">
        <v>41</v>
      </c>
      <c r="D13" s="92" t="s">
        <v>5</v>
      </c>
      <c r="E13" s="92" t="s">
        <v>5</v>
      </c>
      <c r="F13" s="92" t="s">
        <v>41</v>
      </c>
      <c r="G13" s="92" t="s">
        <v>5</v>
      </c>
      <c r="H13" s="92" t="s">
        <v>41</v>
      </c>
      <c r="I13" s="92" t="s">
        <v>41</v>
      </c>
      <c r="J13" s="91" t="s">
        <v>5</v>
      </c>
      <c r="K13" s="92" t="s">
        <v>41</v>
      </c>
      <c r="L13" s="92" t="s">
        <v>5</v>
      </c>
      <c r="M13" s="92" t="s">
        <v>41</v>
      </c>
    </row>
    <row r="14" spans="1:13">
      <c r="A14" s="187" t="s">
        <v>171</v>
      </c>
      <c r="B14" s="91" t="s">
        <v>5</v>
      </c>
      <c r="C14" s="92" t="s">
        <v>41</v>
      </c>
      <c r="D14" s="91" t="s">
        <v>41</v>
      </c>
      <c r="E14" s="92" t="s">
        <v>5</v>
      </c>
      <c r="F14" s="91" t="s">
        <v>5</v>
      </c>
      <c r="G14" s="92" t="s">
        <v>5</v>
      </c>
      <c r="H14" s="91" t="s">
        <v>5</v>
      </c>
      <c r="I14" s="91" t="s">
        <v>5</v>
      </c>
      <c r="J14" s="91" t="s">
        <v>5</v>
      </c>
      <c r="K14" s="91" t="s">
        <v>5</v>
      </c>
      <c r="L14" s="91" t="s">
        <v>41</v>
      </c>
      <c r="M14" s="92" t="s">
        <v>41</v>
      </c>
    </row>
    <row r="15" spans="1:13">
      <c r="A15" s="186" t="s">
        <v>172</v>
      </c>
      <c r="B15" s="92" t="s">
        <v>41</v>
      </c>
      <c r="C15" s="91" t="s">
        <v>5</v>
      </c>
      <c r="D15" s="92" t="s">
        <v>5</v>
      </c>
      <c r="E15" s="92" t="s">
        <v>5</v>
      </c>
      <c r="F15" s="92" t="s">
        <v>41</v>
      </c>
      <c r="G15" s="92" t="s">
        <v>5</v>
      </c>
      <c r="H15" s="91" t="s">
        <v>5</v>
      </c>
      <c r="I15" s="91" t="s">
        <v>5</v>
      </c>
      <c r="J15" s="91" t="s">
        <v>5</v>
      </c>
      <c r="K15" s="91" t="s">
        <v>5</v>
      </c>
      <c r="L15" s="92" t="s">
        <v>5</v>
      </c>
      <c r="M15" s="92" t="s">
        <v>41</v>
      </c>
    </row>
    <row r="16" spans="1:13">
      <c r="A16" s="186" t="s">
        <v>173</v>
      </c>
      <c r="B16" s="92" t="s">
        <v>41</v>
      </c>
      <c r="C16" s="91" t="s">
        <v>5</v>
      </c>
      <c r="D16" s="92" t="s">
        <v>5</v>
      </c>
      <c r="E16" s="92" t="s">
        <v>5</v>
      </c>
      <c r="F16" s="92" t="s">
        <v>41</v>
      </c>
      <c r="G16" s="92" t="s">
        <v>5</v>
      </c>
      <c r="H16" s="91" t="s">
        <v>5</v>
      </c>
      <c r="I16" s="91" t="s">
        <v>5</v>
      </c>
      <c r="J16" s="91" t="s">
        <v>5</v>
      </c>
      <c r="K16" s="91" t="s">
        <v>5</v>
      </c>
      <c r="L16" s="92" t="s">
        <v>5</v>
      </c>
      <c r="M16" s="92" t="s">
        <v>41</v>
      </c>
    </row>
    <row r="17" spans="1:13">
      <c r="A17" s="186" t="s">
        <v>197</v>
      </c>
      <c r="B17" s="91" t="s">
        <v>5</v>
      </c>
      <c r="C17" s="91" t="s">
        <v>5</v>
      </c>
      <c r="D17" s="91" t="s">
        <v>41</v>
      </c>
      <c r="E17" s="91" t="s">
        <v>41</v>
      </c>
      <c r="F17" s="91" t="s">
        <v>5</v>
      </c>
      <c r="G17" s="92" t="s">
        <v>5</v>
      </c>
      <c r="H17" s="91" t="s">
        <v>5</v>
      </c>
      <c r="I17" s="91" t="s">
        <v>5</v>
      </c>
      <c r="J17" s="91" t="s">
        <v>5</v>
      </c>
      <c r="K17" s="91" t="s">
        <v>5</v>
      </c>
      <c r="L17" s="92" t="s">
        <v>5</v>
      </c>
      <c r="M17" s="91" t="s">
        <v>5</v>
      </c>
    </row>
    <row r="18" spans="1:13">
      <c r="A18" s="186" t="s">
        <v>199</v>
      </c>
      <c r="B18" s="91" t="s">
        <v>5</v>
      </c>
      <c r="C18" s="91" t="s">
        <v>5</v>
      </c>
      <c r="D18" s="91" t="s">
        <v>41</v>
      </c>
      <c r="E18" s="92" t="s">
        <v>5</v>
      </c>
      <c r="F18" s="91" t="s">
        <v>5</v>
      </c>
      <c r="G18" s="92" t="s">
        <v>5</v>
      </c>
      <c r="H18" s="91" t="s">
        <v>5</v>
      </c>
      <c r="I18" s="91" t="s">
        <v>5</v>
      </c>
      <c r="J18" s="91" t="s">
        <v>5</v>
      </c>
      <c r="K18" s="91" t="s">
        <v>5</v>
      </c>
      <c r="L18" s="91" t="s">
        <v>41</v>
      </c>
      <c r="M18" s="91" t="s">
        <v>5</v>
      </c>
    </row>
    <row r="19" spans="1:13">
      <c r="A19" s="186" t="s">
        <v>198</v>
      </c>
      <c r="B19" s="91" t="s">
        <v>5</v>
      </c>
      <c r="C19" s="91" t="s">
        <v>5</v>
      </c>
      <c r="D19" s="107" t="s">
        <v>41</v>
      </c>
      <c r="E19" s="92" t="s">
        <v>5</v>
      </c>
      <c r="F19" s="91" t="s">
        <v>5</v>
      </c>
      <c r="G19" s="92" t="s">
        <v>5</v>
      </c>
      <c r="H19" s="91" t="s">
        <v>5</v>
      </c>
      <c r="I19" s="91" t="s">
        <v>5</v>
      </c>
      <c r="J19" s="91" t="s">
        <v>5</v>
      </c>
      <c r="K19" s="91" t="s">
        <v>5</v>
      </c>
      <c r="L19" s="107" t="s">
        <v>41</v>
      </c>
      <c r="M19" s="91" t="s">
        <v>5</v>
      </c>
    </row>
    <row r="20" spans="1:13">
      <c r="A20" s="186" t="s">
        <v>229</v>
      </c>
      <c r="B20" s="91" t="s">
        <v>5</v>
      </c>
      <c r="C20" s="91" t="s">
        <v>5</v>
      </c>
      <c r="D20" s="91" t="s">
        <v>41</v>
      </c>
      <c r="E20" s="92" t="s">
        <v>5</v>
      </c>
      <c r="F20" s="91" t="s">
        <v>5</v>
      </c>
      <c r="G20" s="92" t="s">
        <v>5</v>
      </c>
      <c r="H20" s="91" t="s">
        <v>5</v>
      </c>
      <c r="I20" s="91" t="s">
        <v>5</v>
      </c>
      <c r="J20" s="91" t="s">
        <v>5</v>
      </c>
      <c r="K20" s="91" t="s">
        <v>5</v>
      </c>
      <c r="L20" s="92" t="s">
        <v>5</v>
      </c>
      <c r="M20" s="92" t="s">
        <v>41</v>
      </c>
    </row>
    <row r="21" spans="1:13">
      <c r="A21" s="186" t="s">
        <v>230</v>
      </c>
      <c r="B21" s="91" t="s">
        <v>5</v>
      </c>
      <c r="C21" s="92" t="s">
        <v>41</v>
      </c>
      <c r="D21" s="92" t="s">
        <v>5</v>
      </c>
      <c r="E21" s="92" t="s">
        <v>5</v>
      </c>
      <c r="F21" s="91" t="s">
        <v>5</v>
      </c>
      <c r="G21" s="92" t="s">
        <v>5</v>
      </c>
      <c r="H21" s="91" t="s">
        <v>5</v>
      </c>
      <c r="I21" s="91" t="s">
        <v>5</v>
      </c>
      <c r="J21" s="91" t="s">
        <v>5</v>
      </c>
      <c r="K21" s="91" t="s">
        <v>5</v>
      </c>
      <c r="L21" s="92" t="s">
        <v>5</v>
      </c>
      <c r="M21" s="92" t="s">
        <v>41</v>
      </c>
    </row>
    <row r="22" spans="1:13">
      <c r="A22" s="186" t="s">
        <v>231</v>
      </c>
      <c r="B22" s="91" t="s">
        <v>5</v>
      </c>
      <c r="C22" s="92" t="s">
        <v>41</v>
      </c>
      <c r="D22" s="91" t="s">
        <v>41</v>
      </c>
      <c r="E22" s="92" t="s">
        <v>5</v>
      </c>
      <c r="F22" s="91" t="s">
        <v>5</v>
      </c>
      <c r="G22" s="92" t="s">
        <v>5</v>
      </c>
      <c r="H22" s="91" t="s">
        <v>5</v>
      </c>
      <c r="I22" s="91" t="s">
        <v>5</v>
      </c>
      <c r="J22" s="91" t="s">
        <v>5</v>
      </c>
      <c r="K22" s="91" t="s">
        <v>5</v>
      </c>
      <c r="L22" s="91" t="s">
        <v>41</v>
      </c>
      <c r="M22" s="91" t="s">
        <v>5</v>
      </c>
    </row>
    <row r="23" spans="1:13">
      <c r="A23" s="186" t="s">
        <v>264</v>
      </c>
      <c r="B23" s="91" t="s">
        <v>5</v>
      </c>
      <c r="C23" s="92" t="s">
        <v>41</v>
      </c>
      <c r="D23" s="92" t="s">
        <v>5</v>
      </c>
      <c r="E23" s="92" t="s">
        <v>5</v>
      </c>
      <c r="F23" s="92" t="s">
        <v>41</v>
      </c>
      <c r="G23" s="92" t="s">
        <v>5</v>
      </c>
      <c r="H23" s="91" t="s">
        <v>5</v>
      </c>
      <c r="I23" s="91" t="s">
        <v>5</v>
      </c>
      <c r="J23" s="91" t="s">
        <v>5</v>
      </c>
      <c r="K23" s="91" t="s">
        <v>5</v>
      </c>
      <c r="L23" s="92" t="s">
        <v>5</v>
      </c>
      <c r="M23" s="91" t="s">
        <v>5</v>
      </c>
    </row>
    <row r="24" spans="1:13">
      <c r="A24" s="186" t="s">
        <v>265</v>
      </c>
      <c r="B24" s="92" t="s">
        <v>41</v>
      </c>
      <c r="C24" s="91" t="s">
        <v>5</v>
      </c>
      <c r="D24" s="92" t="s">
        <v>5</v>
      </c>
      <c r="E24" s="91" t="s">
        <v>1345</v>
      </c>
      <c r="F24" s="92" t="s">
        <v>41</v>
      </c>
      <c r="G24" s="92" t="s">
        <v>5</v>
      </c>
      <c r="H24" s="92" t="s">
        <v>41</v>
      </c>
      <c r="I24" s="92" t="s">
        <v>41</v>
      </c>
      <c r="J24" s="91" t="s">
        <v>5</v>
      </c>
      <c r="K24" s="91" t="s">
        <v>5</v>
      </c>
      <c r="L24" s="92" t="s">
        <v>5</v>
      </c>
      <c r="M24" s="92" t="s">
        <v>41</v>
      </c>
    </row>
    <row r="25" spans="1:13">
      <c r="A25" s="186" t="s">
        <v>266</v>
      </c>
      <c r="B25" s="91" t="s">
        <v>5</v>
      </c>
      <c r="C25" s="92" t="s">
        <v>41</v>
      </c>
      <c r="D25" s="92" t="s">
        <v>5</v>
      </c>
      <c r="E25" s="92" t="s">
        <v>5</v>
      </c>
      <c r="F25" s="92" t="s">
        <v>41</v>
      </c>
      <c r="G25" s="91" t="s">
        <v>41</v>
      </c>
      <c r="H25" s="91" t="s">
        <v>5</v>
      </c>
      <c r="I25" s="91" t="s">
        <v>5</v>
      </c>
      <c r="J25" s="91" t="s">
        <v>5</v>
      </c>
      <c r="K25" s="91" t="s">
        <v>5</v>
      </c>
      <c r="L25" s="92" t="s">
        <v>5</v>
      </c>
      <c r="M25" s="92" t="s">
        <v>41</v>
      </c>
    </row>
    <row r="26" spans="1:13">
      <c r="A26" s="186" t="s">
        <v>302</v>
      </c>
      <c r="B26" s="91" t="s">
        <v>5</v>
      </c>
      <c r="C26" s="92" t="s">
        <v>41</v>
      </c>
      <c r="D26" s="92" t="s">
        <v>5</v>
      </c>
      <c r="E26" s="91" t="s">
        <v>41</v>
      </c>
      <c r="F26" s="91" t="s">
        <v>5</v>
      </c>
      <c r="G26" s="92" t="s">
        <v>5</v>
      </c>
      <c r="H26" s="91" t="s">
        <v>5</v>
      </c>
      <c r="I26" s="91" t="s">
        <v>5</v>
      </c>
      <c r="J26" s="91" t="s">
        <v>5</v>
      </c>
      <c r="K26" s="91" t="s">
        <v>5</v>
      </c>
      <c r="L26" s="91" t="s">
        <v>41</v>
      </c>
      <c r="M26" s="91" t="s">
        <v>5</v>
      </c>
    </row>
    <row r="27" spans="1:13">
      <c r="A27" s="186" t="s">
        <v>1265</v>
      </c>
      <c r="B27" s="92" t="s">
        <v>41</v>
      </c>
      <c r="C27" s="92" t="s">
        <v>41</v>
      </c>
      <c r="D27" s="92" t="s">
        <v>5</v>
      </c>
      <c r="E27" s="92" t="s">
        <v>5</v>
      </c>
      <c r="F27" s="92" t="s">
        <v>41</v>
      </c>
      <c r="G27" s="91" t="s">
        <v>41</v>
      </c>
      <c r="H27" s="91" t="s">
        <v>5</v>
      </c>
      <c r="I27" s="91" t="s">
        <v>5</v>
      </c>
      <c r="J27" s="92" t="s">
        <v>41</v>
      </c>
      <c r="K27" s="91" t="s">
        <v>5</v>
      </c>
      <c r="L27" s="92" t="s">
        <v>5</v>
      </c>
      <c r="M27" s="91" t="s">
        <v>5</v>
      </c>
    </row>
    <row r="28" spans="1:13">
      <c r="A28" s="186" t="s">
        <v>1266</v>
      </c>
      <c r="B28" s="92" t="s">
        <v>41</v>
      </c>
      <c r="C28" s="92" t="s">
        <v>41</v>
      </c>
      <c r="D28" s="92" t="s">
        <v>5</v>
      </c>
      <c r="E28" s="92" t="s">
        <v>5</v>
      </c>
      <c r="F28" s="92" t="s">
        <v>41</v>
      </c>
      <c r="G28" s="91" t="s">
        <v>41</v>
      </c>
      <c r="H28" s="91" t="s">
        <v>5</v>
      </c>
      <c r="I28" s="91" t="s">
        <v>5</v>
      </c>
      <c r="J28" s="92" t="s">
        <v>41</v>
      </c>
      <c r="K28" s="91" t="s">
        <v>5</v>
      </c>
      <c r="L28" s="92" t="s">
        <v>5</v>
      </c>
      <c r="M28" s="91" t="s">
        <v>5</v>
      </c>
    </row>
  </sheetData>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38</vt:i4>
      </vt:variant>
    </vt:vector>
  </HeadingPairs>
  <TitlesOfParts>
    <vt:vector size="38" baseType="lpstr">
      <vt:lpstr>Compare_Tax_system</vt:lpstr>
      <vt:lpstr>Compare_Companies</vt:lpstr>
      <vt:lpstr>Compare_Trusts</vt:lpstr>
      <vt:lpstr>Tax_Treaties</vt:lpstr>
      <vt:lpstr>TIEA</vt:lpstr>
      <vt:lpstr>Death_Penalty</vt:lpstr>
      <vt:lpstr>Main_Airport</vt:lpstr>
      <vt:lpstr>Banks</vt:lpstr>
      <vt:lpstr>Temperature</vt:lpstr>
      <vt:lpstr>Precipitation</vt:lpstr>
      <vt:lpstr>Inflation_Rate</vt:lpstr>
      <vt:lpstr>Registry_Of_Commerce</vt:lpstr>
      <vt:lpstr>Spoken_Languages</vt:lpstr>
      <vt:lpstr>Annual_Fees_For_Corporations</vt:lpstr>
      <vt:lpstr>OECD_Members</vt:lpstr>
      <vt:lpstr>Property_Tax</vt:lpstr>
      <vt:lpstr>Become_Permanent_Resident</vt:lpstr>
      <vt:lpstr>Land_Area</vt:lpstr>
      <vt:lpstr>Price_Of_Square_Meter</vt:lpstr>
      <vt:lpstr>Unemployement_Rate</vt:lpstr>
      <vt:lpstr>Balance_Of_Trade</vt:lpstr>
      <vt:lpstr>Free_Mobile</vt:lpstr>
      <vt:lpstr>Get_Driver_License</vt:lpstr>
      <vt:lpstr>RFID_Chips_Required</vt:lpstr>
      <vt:lpstr>Capital_Gains_Tax_Rate</vt:lpstr>
      <vt:lpstr>Become_Citizen</vt:lpstr>
      <vt:lpstr>Virtual_Offices_Company</vt:lpstr>
      <vt:lpstr>P_O_Box_For_Private_Person</vt:lpstr>
      <vt:lpstr>Net_Worth_Tax</vt:lpstr>
      <vt:lpstr>Gun_Permit</vt:lpstr>
      <vt:lpstr>Social_Security_Rate</vt:lpstr>
      <vt:lpstr>Offshore_Tax</vt:lpstr>
      <vt:lpstr>Capital_Losses_Carry_Forward</vt:lpstr>
      <vt:lpstr>EU_Members</vt:lpstr>
      <vt:lpstr>Population</vt:lpstr>
      <vt:lpstr>Personal_Income_Tax</vt:lpstr>
      <vt:lpstr>VAT_Tax_Rate</vt:lpstr>
      <vt:lpstr>Final_Comparison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2019-11-04T18:06:20Z</dcterms:modified>
</cp:coreProperties>
</file>